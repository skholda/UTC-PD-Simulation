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06ed95fdb616d15/Desktop/UVA/Projects/Photodiode_with_InP_resistance/Excel/RF/PD0008-1/Saturation power/30um/Main_03_30_206/55 ohm/"/>
    </mc:Choice>
  </mc:AlternateContent>
  <xr:revisionPtr revIDLastSave="2124" documentId="8_{8E361EE7-E046-4F36-A92B-B132DE58ACDB}" xr6:coauthVersionLast="47" xr6:coauthVersionMax="47" xr10:uidLastSave="{B7C3EFE3-73AF-40F8-A2DA-5FE54B3C9306}"/>
  <bookViews>
    <workbookView xWindow="-120" yWindow="-120" windowWidth="29040" windowHeight="15720" xr2:uid="{77EF6FBA-BAC2-445E-B922-D19CF94261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" l="1"/>
  <c r="F24" i="1"/>
  <c r="F26" i="1"/>
  <c r="F28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E8" i="1"/>
  <c r="E9" i="1"/>
  <c r="F9" i="1"/>
  <c r="F10" i="1"/>
  <c r="F17" i="1"/>
  <c r="F18" i="1"/>
  <c r="F30" i="1"/>
  <c r="A60" i="1"/>
  <c r="F65" i="1"/>
  <c r="F66" i="1"/>
  <c r="F67" i="1"/>
  <c r="F70" i="1"/>
  <c r="F74" i="1"/>
  <c r="F75" i="1"/>
  <c r="F83" i="1"/>
  <c r="A90" i="1"/>
  <c r="A91" i="1"/>
  <c r="F91" i="1" s="1"/>
  <c r="A92" i="1"/>
  <c r="A93" i="1"/>
  <c r="F93" i="1" s="1"/>
  <c r="A94" i="1"/>
  <c r="A95" i="1"/>
  <c r="F95" i="1" s="1"/>
  <c r="A96" i="1"/>
  <c r="F96" i="1" s="1"/>
  <c r="A97" i="1"/>
  <c r="F97" i="1" s="1"/>
  <c r="A98" i="1"/>
  <c r="F98" i="1" s="1"/>
  <c r="A99" i="1"/>
  <c r="F99" i="1" s="1"/>
  <c r="F62" i="1"/>
  <c r="E10" i="1"/>
  <c r="F16" i="1"/>
  <c r="F8" i="1"/>
  <c r="F14" i="1"/>
  <c r="A114" i="1"/>
  <c r="A115" i="1"/>
  <c r="F115" i="1" s="1"/>
  <c r="A116" i="1"/>
  <c r="A117" i="1"/>
  <c r="F117" i="1" s="1"/>
  <c r="A118" i="1"/>
  <c r="F118" i="1" s="1"/>
  <c r="A119" i="1"/>
  <c r="F119" i="1" s="1"/>
  <c r="A120" i="1"/>
  <c r="A121" i="1"/>
  <c r="F121" i="1" s="1"/>
  <c r="A122" i="1"/>
  <c r="F122" i="1" s="1"/>
  <c r="A123" i="1"/>
  <c r="F123" i="1" s="1"/>
  <c r="A124" i="1"/>
  <c r="F124" i="1" s="1"/>
  <c r="A125" i="1"/>
  <c r="F125" i="1" s="1"/>
  <c r="A126" i="1"/>
  <c r="F126" i="1" s="1"/>
  <c r="A127" i="1"/>
  <c r="F127" i="1" s="1"/>
  <c r="A128" i="1"/>
  <c r="F128" i="1" s="1"/>
  <c r="A129" i="1"/>
  <c r="F129" i="1" s="1"/>
  <c r="A130" i="1"/>
  <c r="F130" i="1" s="1"/>
  <c r="A131" i="1"/>
  <c r="F131" i="1" s="1"/>
  <c r="A132" i="1"/>
  <c r="F132" i="1" s="1"/>
  <c r="A133" i="1"/>
  <c r="F133" i="1" s="1"/>
  <c r="A134" i="1"/>
  <c r="F134" i="1" s="1"/>
  <c r="A135" i="1"/>
  <c r="F135" i="1" s="1"/>
  <c r="A136" i="1"/>
  <c r="F136" i="1" s="1"/>
  <c r="A137" i="1"/>
  <c r="F137" i="1" s="1"/>
  <c r="A138" i="1"/>
  <c r="F138" i="1" s="1"/>
  <c r="A139" i="1"/>
  <c r="F139" i="1" s="1"/>
  <c r="A140" i="1"/>
  <c r="A141" i="1"/>
  <c r="F141" i="1" s="1"/>
  <c r="A142" i="1"/>
  <c r="F142" i="1" s="1"/>
  <c r="A143" i="1"/>
  <c r="F143" i="1" s="1"/>
  <c r="A144" i="1"/>
  <c r="F144" i="1" s="1"/>
  <c r="A145" i="1"/>
  <c r="F145" i="1" s="1"/>
  <c r="A146" i="1"/>
  <c r="F146" i="1" s="1"/>
  <c r="A147" i="1"/>
  <c r="A148" i="1"/>
  <c r="A149" i="1"/>
  <c r="A150" i="1"/>
  <c r="A151" i="1"/>
  <c r="F151" i="1" s="1"/>
  <c r="A152" i="1"/>
  <c r="F152" i="1" s="1"/>
  <c r="A153" i="1"/>
  <c r="F153" i="1" s="1"/>
  <c r="A113" i="1"/>
  <c r="F113" i="1" s="1"/>
  <c r="F60" i="1"/>
  <c r="F64" i="1"/>
  <c r="F68" i="1"/>
  <c r="F69" i="1"/>
  <c r="F71" i="1"/>
  <c r="F72" i="1"/>
  <c r="F73" i="1"/>
  <c r="F76" i="1"/>
  <c r="F77" i="1"/>
  <c r="F78" i="1"/>
  <c r="F79" i="1"/>
  <c r="F81" i="1"/>
  <c r="F82" i="1"/>
  <c r="F84" i="1"/>
  <c r="F85" i="1"/>
  <c r="F87" i="1"/>
  <c r="F88" i="1"/>
  <c r="F89" i="1"/>
  <c r="F90" i="1"/>
  <c r="F92" i="1"/>
  <c r="A59" i="1"/>
  <c r="F59" i="1" s="1"/>
  <c r="F11" i="1"/>
  <c r="F12" i="1"/>
  <c r="F13" i="1"/>
  <c r="F19" i="1"/>
  <c r="F20" i="1"/>
  <c r="F23" i="1"/>
  <c r="F27" i="1"/>
  <c r="F29" i="1"/>
  <c r="F114" i="1"/>
  <c r="E147" i="1"/>
  <c r="E148" i="1"/>
  <c r="E149" i="1"/>
  <c r="E150" i="1"/>
  <c r="E151" i="1"/>
  <c r="E152" i="1"/>
  <c r="E153" i="1"/>
  <c r="F147" i="1"/>
  <c r="F148" i="1"/>
  <c r="F149" i="1"/>
  <c r="F150" i="1"/>
  <c r="E96" i="1"/>
  <c r="E97" i="1"/>
  <c r="E98" i="1"/>
  <c r="E99" i="1"/>
  <c r="F94" i="1"/>
  <c r="E93" i="1"/>
  <c r="E94" i="1"/>
  <c r="E95" i="1"/>
  <c r="F86" i="1"/>
  <c r="F80" i="1"/>
  <c r="F61" i="1"/>
  <c r="F63" i="1"/>
  <c r="E146" i="1"/>
  <c r="E145" i="1"/>
  <c r="E144" i="1"/>
  <c r="E143" i="1"/>
  <c r="E142" i="1"/>
  <c r="E141" i="1"/>
  <c r="E140" i="1"/>
  <c r="F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F120" i="1"/>
  <c r="E119" i="1"/>
  <c r="E118" i="1"/>
  <c r="E117" i="1"/>
  <c r="E116" i="1"/>
  <c r="F116" i="1"/>
  <c r="E115" i="1"/>
  <c r="E114" i="1"/>
  <c r="E11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F15" i="1"/>
  <c r="F21" i="1"/>
  <c r="F25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</calcChain>
</file>

<file path=xl/sharedStrings.xml><?xml version="1.0" encoding="utf-8"?>
<sst xmlns="http://schemas.openxmlformats.org/spreadsheetml/2006/main" count="43" uniqueCount="19">
  <si>
    <t>Diameter</t>
    <phoneticPr fontId="1" type="noConversion"/>
  </si>
  <si>
    <t>Bias</t>
    <phoneticPr fontId="1" type="noConversion"/>
  </si>
  <si>
    <t>Output power</t>
    <phoneticPr fontId="1" type="noConversion"/>
  </si>
  <si>
    <t>Cal RF</t>
    <phoneticPr fontId="1" type="noConversion"/>
  </si>
  <si>
    <t>Frequency (GHz)</t>
    <phoneticPr fontId="1" type="noConversion"/>
  </si>
  <si>
    <t>Photocurrent (mA)</t>
    <phoneticPr fontId="1" type="noConversion"/>
  </si>
  <si>
    <t>Loss</t>
    <phoneticPr fontId="1" type="noConversion"/>
  </si>
  <si>
    <t>With resistor</t>
    <phoneticPr fontId="1" type="noConversion"/>
  </si>
  <si>
    <t>WO resistor</t>
    <phoneticPr fontId="1" type="noConversion"/>
  </si>
  <si>
    <t>40 um</t>
    <phoneticPr fontId="1" type="noConversion"/>
  </si>
  <si>
    <t>50 % lift up</t>
    <phoneticPr fontId="1" type="noConversion"/>
  </si>
  <si>
    <t>Maximum Iph (limit)</t>
    <phoneticPr fontId="1" type="noConversion"/>
  </si>
  <si>
    <t>Atten [dB]</t>
    <phoneticPr fontId="1" type="noConversion"/>
  </si>
  <si>
    <t>Short circuit current</t>
    <phoneticPr fontId="1" type="noConversion"/>
  </si>
  <si>
    <t>Total current</t>
    <phoneticPr fontId="1" type="noConversion"/>
  </si>
  <si>
    <t>140 ohm</t>
    <phoneticPr fontId="1" type="noConversion"/>
  </si>
  <si>
    <t>Real photocurrent</t>
    <phoneticPr fontId="1" type="noConversion"/>
  </si>
  <si>
    <t xml:space="preserve">  </t>
    <phoneticPr fontId="1" type="noConversion"/>
  </si>
  <si>
    <t>30 um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</si>
</sst>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family val="3"/>
      <charset val="129"/>
      <scheme val="minor"/>
    </font>
    <font>
      <b/>
      <sz val="11"/>
      <color theme="1"/>
      <name val="Aptos Narrow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-3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Sheet1!$F$8:$F$43</c:f>
              <c:numCache>
                <c:formatCode>General</c:formatCode>
                <c:ptCount val="36"/>
                <c:pt idx="0">
                  <c:v>0.36500000000000199</c:v>
                </c:pt>
                <c:pt idx="1">
                  <c:v>0.84000000000000341</c:v>
                </c:pt>
                <c:pt idx="2">
                  <c:v>1.1020000000000039</c:v>
                </c:pt>
                <c:pt idx="3">
                  <c:v>4.0579999999999998</c:v>
                </c:pt>
                <c:pt idx="4">
                  <c:v>6.9870000000000019</c:v>
                </c:pt>
                <c:pt idx="5">
                  <c:v>12.242000000000004</c:v>
                </c:pt>
                <c:pt idx="6">
                  <c:v>16.641999999999996</c:v>
                </c:pt>
                <c:pt idx="7">
                  <c:v>20.072000000000003</c:v>
                </c:pt>
                <c:pt idx="8">
                  <c:v>24.171999999999997</c:v>
                </c:pt>
                <c:pt idx="9">
                  <c:v>37.492000000000004</c:v>
                </c:pt>
                <c:pt idx="10">
                  <c:v>45.522000000000006</c:v>
                </c:pt>
                <c:pt idx="11">
                  <c:v>57.122</c:v>
                </c:pt>
                <c:pt idx="12">
                  <c:v>64.722000000000008</c:v>
                </c:pt>
                <c:pt idx="13">
                  <c:v>74.622</c:v>
                </c:pt>
                <c:pt idx="14">
                  <c:v>93.021999999999991</c:v>
                </c:pt>
                <c:pt idx="15">
                  <c:v>97.222000000000008</c:v>
                </c:pt>
                <c:pt idx="16">
                  <c:v>100.02199999999999</c:v>
                </c:pt>
                <c:pt idx="17">
                  <c:v>103.52199999999999</c:v>
                </c:pt>
                <c:pt idx="18">
                  <c:v>107.52199999999999</c:v>
                </c:pt>
                <c:pt idx="19">
                  <c:v>109.822</c:v>
                </c:pt>
                <c:pt idx="20">
                  <c:v>112.822</c:v>
                </c:pt>
                <c:pt idx="21">
                  <c:v>114.822</c:v>
                </c:pt>
                <c:pt idx="22">
                  <c:v>128.822</c:v>
                </c:pt>
              </c:numCache>
            </c:numRef>
          </c:xVal>
          <c:yVal>
            <c:numRef>
              <c:f>Sheet1!$E$8:$E$43</c:f>
              <c:numCache>
                <c:formatCode>General</c:formatCode>
                <c:ptCount val="36"/>
                <c:pt idx="0">
                  <c:v>-35.74</c:v>
                </c:pt>
                <c:pt idx="1">
                  <c:v>-28.82</c:v>
                </c:pt>
                <c:pt idx="2">
                  <c:v>-26.35</c:v>
                </c:pt>
                <c:pt idx="3">
                  <c:v>-14.77</c:v>
                </c:pt>
                <c:pt idx="4">
                  <c:v>-10</c:v>
                </c:pt>
                <c:pt idx="5">
                  <c:v>-5.07</c:v>
                </c:pt>
                <c:pt idx="6">
                  <c:v>-2.2900000000000009</c:v>
                </c:pt>
                <c:pt idx="7">
                  <c:v>-0.60000000000000053</c:v>
                </c:pt>
                <c:pt idx="8">
                  <c:v>1.0899999999999999</c:v>
                </c:pt>
                <c:pt idx="9">
                  <c:v>5.08</c:v>
                </c:pt>
                <c:pt idx="10">
                  <c:v>6.91</c:v>
                </c:pt>
                <c:pt idx="11">
                  <c:v>9.17</c:v>
                </c:pt>
                <c:pt idx="12">
                  <c:v>10.24</c:v>
                </c:pt>
                <c:pt idx="13">
                  <c:v>11.5</c:v>
                </c:pt>
                <c:pt idx="14">
                  <c:v>13.18</c:v>
                </c:pt>
                <c:pt idx="15">
                  <c:v>13.469999999999999</c:v>
                </c:pt>
                <c:pt idx="16">
                  <c:v>13.67</c:v>
                </c:pt>
                <c:pt idx="17">
                  <c:v>13.85</c:v>
                </c:pt>
                <c:pt idx="18">
                  <c:v>14.03</c:v>
                </c:pt>
                <c:pt idx="19">
                  <c:v>14.07</c:v>
                </c:pt>
                <c:pt idx="20">
                  <c:v>14.26</c:v>
                </c:pt>
                <c:pt idx="21">
                  <c:v>14.27</c:v>
                </c:pt>
                <c:pt idx="22">
                  <c:v>14.200000000000001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830-9B38-92D82904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-4</a:t>
            </a:r>
            <a:r>
              <a:rPr lang="en-US" altLang="ko-KR" baseline="0"/>
              <a:t> V</a:t>
            </a:r>
            <a:endParaRPr lang="ko-KR" altLang="en-US"/>
          </a:p>
        </c:rich>
      </c:tx>
      <c:layout>
        <c:manualLayout>
          <c:xMode val="edge"/>
          <c:yMode val="edge"/>
          <c:x val="0.47409447027275259"/>
          <c:y val="1.04938275430334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928629354882181E-2"/>
          <c:y val="0.1129172944917054"/>
          <c:w val="0.93318621105154798"/>
          <c:h val="0.872523148037021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Sheet1!$F$59:$F$95</c:f>
              <c:numCache>
                <c:formatCode>General</c:formatCode>
                <c:ptCount val="37"/>
                <c:pt idx="0">
                  <c:v>0.42000000000000171</c:v>
                </c:pt>
                <c:pt idx="1">
                  <c:v>0.92000000000000171</c:v>
                </c:pt>
                <c:pt idx="2">
                  <c:v>31.17</c:v>
                </c:pt>
                <c:pt idx="3">
                  <c:v>34.090000000000003</c:v>
                </c:pt>
                <c:pt idx="4">
                  <c:v>37.049999999999997</c:v>
                </c:pt>
                <c:pt idx="5">
                  <c:v>42.22</c:v>
                </c:pt>
                <c:pt idx="6">
                  <c:v>46.36</c:v>
                </c:pt>
                <c:pt idx="7">
                  <c:v>50.45</c:v>
                </c:pt>
                <c:pt idx="8">
                  <c:v>54.599999999999994</c:v>
                </c:pt>
                <c:pt idx="9">
                  <c:v>58.300000000000011</c:v>
                </c:pt>
                <c:pt idx="10">
                  <c:v>62.199999999999989</c:v>
                </c:pt>
                <c:pt idx="11">
                  <c:v>67.449999999999989</c:v>
                </c:pt>
                <c:pt idx="12">
                  <c:v>71.599999999999994</c:v>
                </c:pt>
                <c:pt idx="13">
                  <c:v>75.699999999999989</c:v>
                </c:pt>
                <c:pt idx="14">
                  <c:v>80</c:v>
                </c:pt>
                <c:pt idx="15">
                  <c:v>87.4</c:v>
                </c:pt>
                <c:pt idx="16">
                  <c:v>95.800000000000011</c:v>
                </c:pt>
                <c:pt idx="17">
                  <c:v>106.80000000000001</c:v>
                </c:pt>
                <c:pt idx="18">
                  <c:v>109.4</c:v>
                </c:pt>
                <c:pt idx="19">
                  <c:v>111.5</c:v>
                </c:pt>
                <c:pt idx="20">
                  <c:v>116.6</c:v>
                </c:pt>
                <c:pt idx="21">
                  <c:v>126.6</c:v>
                </c:pt>
                <c:pt idx="22">
                  <c:v>137.80000000000001</c:v>
                </c:pt>
                <c:pt idx="23">
                  <c:v>144.5</c:v>
                </c:pt>
                <c:pt idx="24">
                  <c:v>150.5</c:v>
                </c:pt>
                <c:pt idx="25">
                  <c:v>157</c:v>
                </c:pt>
                <c:pt idx="26">
                  <c:v>165.7</c:v>
                </c:pt>
                <c:pt idx="27">
                  <c:v>171.8</c:v>
                </c:pt>
                <c:pt idx="28">
                  <c:v>175.4</c:v>
                </c:pt>
                <c:pt idx="29">
                  <c:v>180</c:v>
                </c:pt>
                <c:pt idx="30">
                  <c:v>182.1</c:v>
                </c:pt>
                <c:pt idx="31">
                  <c:v>124.73000000000002</c:v>
                </c:pt>
                <c:pt idx="32">
                  <c:v>132.72999999999999</c:v>
                </c:pt>
                <c:pt idx="33">
                  <c:v>153.72999999999999</c:v>
                </c:pt>
                <c:pt idx="34">
                  <c:v>156.72999999999999</c:v>
                </c:pt>
                <c:pt idx="35">
                  <c:v>160.22999999999999</c:v>
                </c:pt>
                <c:pt idx="36">
                  <c:v>162.72999999999999</c:v>
                </c:pt>
              </c:numCache>
            </c:numRef>
          </c:xVal>
          <c:yVal>
            <c:numRef>
              <c:f>Sheet1!$E$59:$E$95</c:f>
              <c:numCache>
                <c:formatCode>General</c:formatCode>
                <c:ptCount val="37"/>
                <c:pt idx="2">
                  <c:v>-27.72</c:v>
                </c:pt>
                <c:pt idx="3">
                  <c:v>-16.619999999999997</c:v>
                </c:pt>
                <c:pt idx="4">
                  <c:v>-11.2</c:v>
                </c:pt>
                <c:pt idx="5">
                  <c:v>-6.6000000000000014</c:v>
                </c:pt>
                <c:pt idx="6">
                  <c:v>-4.120000000000001</c:v>
                </c:pt>
                <c:pt idx="7">
                  <c:v>-2.2100000000000009</c:v>
                </c:pt>
                <c:pt idx="8">
                  <c:v>-0.62000000000000011</c:v>
                </c:pt>
                <c:pt idx="9">
                  <c:v>0.61000000000000032</c:v>
                </c:pt>
                <c:pt idx="10">
                  <c:v>1.71</c:v>
                </c:pt>
                <c:pt idx="11">
                  <c:v>3.01</c:v>
                </c:pt>
                <c:pt idx="12">
                  <c:v>3.92</c:v>
                </c:pt>
                <c:pt idx="13">
                  <c:v>4.7300000000000004</c:v>
                </c:pt>
                <c:pt idx="14">
                  <c:v>5.52</c:v>
                </c:pt>
                <c:pt idx="15">
                  <c:v>6.68</c:v>
                </c:pt>
                <c:pt idx="16">
                  <c:v>7.84</c:v>
                </c:pt>
                <c:pt idx="17">
                  <c:v>9.18</c:v>
                </c:pt>
                <c:pt idx="18">
                  <c:v>9.4499999999999993</c:v>
                </c:pt>
                <c:pt idx="19">
                  <c:v>9.6900000000000013</c:v>
                </c:pt>
                <c:pt idx="20">
                  <c:v>10.18</c:v>
                </c:pt>
                <c:pt idx="21">
                  <c:v>11.09</c:v>
                </c:pt>
                <c:pt idx="22">
                  <c:v>12.06</c:v>
                </c:pt>
                <c:pt idx="23">
                  <c:v>12.54</c:v>
                </c:pt>
                <c:pt idx="24">
                  <c:v>12.940000000000001</c:v>
                </c:pt>
                <c:pt idx="25">
                  <c:v>13.33</c:v>
                </c:pt>
                <c:pt idx="26">
                  <c:v>13.86</c:v>
                </c:pt>
                <c:pt idx="27">
                  <c:v>14.16</c:v>
                </c:pt>
                <c:pt idx="28">
                  <c:v>14.33</c:v>
                </c:pt>
                <c:pt idx="29">
                  <c:v>14.54</c:v>
                </c:pt>
                <c:pt idx="30">
                  <c:v>14.6</c:v>
                </c:pt>
                <c:pt idx="31">
                  <c:v>6.53</c:v>
                </c:pt>
                <c:pt idx="32">
                  <c:v>6.53</c:v>
                </c:pt>
                <c:pt idx="33">
                  <c:v>6.53</c:v>
                </c:pt>
                <c:pt idx="34">
                  <c:v>6.53</c:v>
                </c:pt>
                <c:pt idx="35">
                  <c:v>6.53</c:v>
                </c:pt>
                <c:pt idx="36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4F-4867-AEEB-4E1908BBA3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-5</a:t>
            </a:r>
            <a:r>
              <a:rPr lang="en-US" altLang="ko-KR" baseline="0"/>
              <a:t> V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Sheet1!$F$113:$F$142</c:f>
              <c:numCache>
                <c:formatCode>General</c:formatCode>
                <c:ptCount val="30"/>
                <c:pt idx="0">
                  <c:v>0.45000000000000284</c:v>
                </c:pt>
                <c:pt idx="1">
                  <c:v>0.96999999999999886</c:v>
                </c:pt>
                <c:pt idx="2">
                  <c:v>1.2399999999999949</c:v>
                </c:pt>
                <c:pt idx="3">
                  <c:v>3.8599999999999994</c:v>
                </c:pt>
                <c:pt idx="4">
                  <c:v>6.8900000000000006</c:v>
                </c:pt>
                <c:pt idx="5">
                  <c:v>12.010000000000005</c:v>
                </c:pt>
                <c:pt idx="6">
                  <c:v>16.100000000000009</c:v>
                </c:pt>
                <c:pt idx="7">
                  <c:v>20.049999999999997</c:v>
                </c:pt>
                <c:pt idx="8">
                  <c:v>24.000000000000014</c:v>
                </c:pt>
                <c:pt idx="9">
                  <c:v>28.049999999999997</c:v>
                </c:pt>
                <c:pt idx="10">
                  <c:v>31.649999999999991</c:v>
                </c:pt>
                <c:pt idx="11">
                  <c:v>36.950000000000003</c:v>
                </c:pt>
                <c:pt idx="12">
                  <c:v>41.750000000000014</c:v>
                </c:pt>
                <c:pt idx="13">
                  <c:v>44.05</c:v>
                </c:pt>
                <c:pt idx="14">
                  <c:v>49.05</c:v>
                </c:pt>
                <c:pt idx="15">
                  <c:v>53.84999999999998</c:v>
                </c:pt>
                <c:pt idx="16">
                  <c:v>57.750000000000014</c:v>
                </c:pt>
                <c:pt idx="17">
                  <c:v>66.250000000000014</c:v>
                </c:pt>
                <c:pt idx="18">
                  <c:v>72.750000000000014</c:v>
                </c:pt>
                <c:pt idx="19">
                  <c:v>79.250000000000014</c:v>
                </c:pt>
                <c:pt idx="20">
                  <c:v>83.55</c:v>
                </c:pt>
                <c:pt idx="21">
                  <c:v>87.55</c:v>
                </c:pt>
                <c:pt idx="22">
                  <c:v>93.750000000000014</c:v>
                </c:pt>
                <c:pt idx="23">
                  <c:v>110.55000000000003</c:v>
                </c:pt>
                <c:pt idx="24">
                  <c:v>113.14999999999999</c:v>
                </c:pt>
                <c:pt idx="25">
                  <c:v>115.34999999999998</c:v>
                </c:pt>
                <c:pt idx="26">
                  <c:v>117.34999999999998</c:v>
                </c:pt>
                <c:pt idx="27">
                  <c:v>122.55000000000003</c:v>
                </c:pt>
                <c:pt idx="28">
                  <c:v>139.34999999999997</c:v>
                </c:pt>
                <c:pt idx="29">
                  <c:v>144.34999999999997</c:v>
                </c:pt>
              </c:numCache>
            </c:numRef>
          </c:xVal>
          <c:yVal>
            <c:numRef>
              <c:f>Sheet1!$E$113:$E$142</c:f>
              <c:numCache>
                <c:formatCode>General</c:formatCode>
                <c:ptCount val="30"/>
                <c:pt idx="0">
                  <c:v>6.53</c:v>
                </c:pt>
                <c:pt idx="1">
                  <c:v>6.53</c:v>
                </c:pt>
                <c:pt idx="2">
                  <c:v>6.53</c:v>
                </c:pt>
                <c:pt idx="3">
                  <c:v>6.53</c:v>
                </c:pt>
                <c:pt idx="4">
                  <c:v>6.53</c:v>
                </c:pt>
                <c:pt idx="5">
                  <c:v>6.53</c:v>
                </c:pt>
                <c:pt idx="6">
                  <c:v>6.53</c:v>
                </c:pt>
                <c:pt idx="7">
                  <c:v>6.53</c:v>
                </c:pt>
                <c:pt idx="8">
                  <c:v>6.53</c:v>
                </c:pt>
                <c:pt idx="9">
                  <c:v>6.53</c:v>
                </c:pt>
                <c:pt idx="10">
                  <c:v>6.53</c:v>
                </c:pt>
                <c:pt idx="11">
                  <c:v>6.53</c:v>
                </c:pt>
                <c:pt idx="12">
                  <c:v>6.53</c:v>
                </c:pt>
                <c:pt idx="13">
                  <c:v>6.53</c:v>
                </c:pt>
                <c:pt idx="14">
                  <c:v>6.53</c:v>
                </c:pt>
                <c:pt idx="15">
                  <c:v>6.53</c:v>
                </c:pt>
                <c:pt idx="16">
                  <c:v>6.53</c:v>
                </c:pt>
                <c:pt idx="17">
                  <c:v>6.53</c:v>
                </c:pt>
                <c:pt idx="18">
                  <c:v>6.53</c:v>
                </c:pt>
                <c:pt idx="19">
                  <c:v>6.53</c:v>
                </c:pt>
                <c:pt idx="20">
                  <c:v>6.53</c:v>
                </c:pt>
                <c:pt idx="21">
                  <c:v>6.53</c:v>
                </c:pt>
                <c:pt idx="22">
                  <c:v>6.53</c:v>
                </c:pt>
                <c:pt idx="23">
                  <c:v>6.53</c:v>
                </c:pt>
                <c:pt idx="24">
                  <c:v>6.53</c:v>
                </c:pt>
                <c:pt idx="25">
                  <c:v>6.53</c:v>
                </c:pt>
                <c:pt idx="26">
                  <c:v>6.53</c:v>
                </c:pt>
                <c:pt idx="27">
                  <c:v>6.53</c:v>
                </c:pt>
                <c:pt idx="28">
                  <c:v>6.53</c:v>
                </c:pt>
                <c:pt idx="29">
                  <c:v>6.53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7-4A30-BE90-19C2CF8E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1601503"/>
        <c:axId val="1061610623"/>
      </c:scatterChart>
      <c:valAx>
        <c:axId val="106160150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10623"/>
        <c:crosses val="autoZero"/>
        <c:crossBetween val="midCat"/>
      </c:valAx>
      <c:valAx>
        <c:axId val="1061610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US"/>
          </a:p>
        </c:txPr>
        <c:crossAx val="1061601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484091</xdr:colOff>
      <xdr:row>16</xdr:row>
      <xdr:rowOff>197223</xdr:rowOff>
    </xdr:from>
    <xdr:to>
      <xdr:col>13</xdr:col>
      <xdr:colOff>331694</xdr:colOff>
      <xdr:row>38</xdr:row>
      <xdr:rowOff>107575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A96C51C-89B1-B590-11BA-333CA793D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709460</xdr:colOff>
      <xdr:row>75</xdr:row>
      <xdr:rowOff>98610</xdr:rowOff>
    </xdr:from>
    <xdr:to>
      <xdr:col>13</xdr:col>
      <xdr:colOff>559900</xdr:colOff>
      <xdr:row>97</xdr:row>
      <xdr:rowOff>8963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CDC4CFE-D1D4-4307-B76B-BBDB897034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686877</xdr:colOff>
      <xdr:row>120</xdr:row>
      <xdr:rowOff>122783</xdr:rowOff>
    </xdr:from>
    <xdr:to>
      <xdr:col>13</xdr:col>
      <xdr:colOff>534480</xdr:colOff>
      <xdr:row>142</xdr:row>
      <xdr:rowOff>33136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478F942E-8F7A-4A50-95E6-9A5488D90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FF947-06D0-4F33-A94A-21956AED1240}">
  <dimension ref="A1:K165"/>
  <sheetViews>
    <sheetView tabSelected="1" zoomScale="79" zoomScaleNormal="85" workbookViewId="0">
      <selection activeCell="H2" sqref="H2"/>
    </sheetView>
  </sheetViews>
  <sheetFormatPr defaultColWidth="8.75" defaultRowHeight="13.5"/>
  <cols>
    <col min="1" max="1" width="14.625" bestFit="1" customWidth="1"/>
    <col min="2" max="2" width="18.625" bestFit="1" customWidth="1"/>
    <col min="3" max="3" width="27" customWidth="1"/>
    <col min="4" max="4" width="27.625" bestFit="1" customWidth="1"/>
    <col min="5" max="5" width="19.875" bestFit="1" customWidth="1"/>
    <col min="6" max="6" width="28.75" customWidth="1"/>
    <col min="7" max="7" width="20.25" bestFit="1" customWidth="1"/>
    <col min="8" max="8" width="14" customWidth="1"/>
    <col min="9" max="9" width="18.25" bestFit="1" customWidth="1"/>
    <col min="10" max="10" width="14.625" customWidth="1"/>
  </cols>
  <sheetData>
    <row r="1" spans="1:11" ht="15">
      <c r="A1" s="2" t="s">
        <v>0</v>
      </c>
      <c r="B1" s="3" t="s">
        <v>18</v>
      </c>
      <c r="C1" s="1" t="s">
        <v>15</v>
      </c>
      <c r="D1" s="1" t="s">
        <v>10</v>
      </c>
      <c r="E1" s="1" t="s">
        <v>11</v>
      </c>
      <c r="F1" s="1">
        <v>280</v>
      </c>
      <c r="G1" s="1">
        <v>180</v>
      </c>
      <c r="H1" s="1">
        <v>77</v>
      </c>
    </row>
    <row r="2" spans="1:11" ht="15">
      <c r="A2" s="2" t="s">
        <v>7</v>
      </c>
      <c r="B2" s="3"/>
      <c r="E2" s="1" t="s">
        <v>13</v>
      </c>
      <c r="F2" s="1">
        <v>53.177999999999997</v>
      </c>
      <c r="G2" s="1">
        <v>70</v>
      </c>
      <c r="H2" s="1">
        <v>122.3</v>
      </c>
    </row>
    <row r="3" spans="1:11">
      <c r="D3" s="1" t="s">
        <v>12</v>
      </c>
      <c r="E3">
        <v>6</v>
      </c>
    </row>
    <row r="4" spans="1:11">
      <c r="B4" s="1" t="s">
        <v>4</v>
      </c>
      <c r="C4">
        <v>30</v>
      </c>
    </row>
    <row r="5" spans="1:11">
      <c r="B5" s="1" t="s">
        <v>1</v>
      </c>
      <c r="C5">
        <v>-3</v>
      </c>
    </row>
    <row r="7" spans="1:11">
      <c r="A7" s="1" t="s">
        <v>14</v>
      </c>
      <c r="B7" s="1" t="s">
        <v>5</v>
      </c>
      <c r="C7" s="1" t="s">
        <v>2</v>
      </c>
      <c r="D7" s="1" t="s">
        <v>6</v>
      </c>
      <c r="E7" s="1" t="s">
        <v>3</v>
      </c>
      <c r="F7" s="1" t="s">
        <v>16</v>
      </c>
      <c r="G7" s="1"/>
      <c r="H7" s="1"/>
      <c r="I7" s="1"/>
      <c r="K7" s="1"/>
    </row>
    <row r="8" spans="1:11">
      <c r="A8">
        <v>53.542999999999999</v>
      </c>
      <c r="B8">
        <v>0.42</v>
      </c>
      <c r="C8">
        <v>-43</v>
      </c>
      <c r="D8" s="6">
        <v>1.26</v>
      </c>
      <c r="E8">
        <f t="shared" ref="E8:E30" si="0">C8+D8+$E$3</f>
        <v>-35.74</v>
      </c>
      <c r="F8">
        <f>A8-$F$2</f>
        <v>0.36500000000000199</v>
      </c>
      <c r="H8" s="5"/>
      <c r="J8" s="4"/>
    </row>
    <row r="9" spans="1:11">
      <c r="A9">
        <v>54.018000000000001</v>
      </c>
      <c r="B9">
        <v>0.92</v>
      </c>
      <c r="C9">
        <v>-36.08</v>
      </c>
      <c r="D9" s="6">
        <v>1.26</v>
      </c>
      <c r="E9">
        <f t="shared" si="0"/>
        <v>-28.82</v>
      </c>
      <c r="F9">
        <f t="shared" ref="F9:F30" si="1">A9-$F$2</f>
        <v>0.84000000000000341</v>
      </c>
      <c r="H9" s="5"/>
      <c r="J9" s="4"/>
    </row>
    <row r="10" spans="1:11">
      <c r="A10">
        <v>54.28</v>
      </c>
      <c r="B10" s="4">
        <v>1.05</v>
      </c>
      <c r="C10">
        <v>-33.61</v>
      </c>
      <c r="D10" s="6">
        <v>1.26</v>
      </c>
      <c r="E10">
        <f t="shared" si="0"/>
        <v>-26.35</v>
      </c>
      <c r="F10">
        <f t="shared" si="1"/>
        <v>1.1020000000000039</v>
      </c>
      <c r="H10" s="5"/>
      <c r="J10" s="4"/>
    </row>
    <row r="11" spans="1:11">
      <c r="A11">
        <v>57.235999999999997</v>
      </c>
      <c r="B11" s="4">
        <v>4.03</v>
      </c>
      <c r="C11">
        <v>-22.03</v>
      </c>
      <c r="D11" s="6">
        <v>1.26</v>
      </c>
      <c r="E11">
        <f t="shared" si="0"/>
        <v>-14.77</v>
      </c>
      <c r="F11">
        <f t="shared" si="1"/>
        <v>4.0579999999999998</v>
      </c>
      <c r="H11" s="5"/>
      <c r="J11" s="4"/>
    </row>
    <row r="12" spans="1:11">
      <c r="A12">
        <v>60.164999999999999</v>
      </c>
      <c r="B12" s="4">
        <v>7.06</v>
      </c>
      <c r="C12">
        <v>-17.260000000000002</v>
      </c>
      <c r="D12" s="6">
        <v>1.26</v>
      </c>
      <c r="E12">
        <f t="shared" si="0"/>
        <v>-10</v>
      </c>
      <c r="F12">
        <f t="shared" si="1"/>
        <v>6.9870000000000019</v>
      </c>
      <c r="H12" s="5"/>
      <c r="J12" s="4"/>
    </row>
    <row r="13" spans="1:11">
      <c r="A13">
        <v>65.42</v>
      </c>
      <c r="B13" s="4">
        <v>12.4</v>
      </c>
      <c r="C13">
        <v>-12.33</v>
      </c>
      <c r="D13" s="6">
        <v>1.26</v>
      </c>
      <c r="E13">
        <f t="shared" si="0"/>
        <v>-5.07</v>
      </c>
      <c r="F13">
        <f t="shared" si="1"/>
        <v>12.242000000000004</v>
      </c>
      <c r="H13" s="5"/>
      <c r="J13" s="4"/>
    </row>
    <row r="14" spans="1:11">
      <c r="A14">
        <v>69.819999999999993</v>
      </c>
      <c r="B14" s="4">
        <v>16.399999999999999</v>
      </c>
      <c r="C14">
        <v>-9.5500000000000007</v>
      </c>
      <c r="D14" s="6">
        <v>1.26</v>
      </c>
      <c r="E14">
        <f t="shared" si="0"/>
        <v>-2.2900000000000009</v>
      </c>
      <c r="F14">
        <f t="shared" si="1"/>
        <v>16.641999999999996</v>
      </c>
      <c r="H14" s="5"/>
      <c r="J14" s="4"/>
    </row>
    <row r="15" spans="1:11">
      <c r="A15">
        <v>73.25</v>
      </c>
      <c r="B15" s="4">
        <v>20</v>
      </c>
      <c r="C15">
        <v>-7.86</v>
      </c>
      <c r="D15" s="6">
        <v>1.26</v>
      </c>
      <c r="E15">
        <f t="shared" si="0"/>
        <v>-0.60000000000000053</v>
      </c>
      <c r="F15">
        <f t="shared" si="1"/>
        <v>20.072000000000003</v>
      </c>
      <c r="G15" t="s">
        <v>17</v>
      </c>
      <c r="H15" s="5"/>
      <c r="J15" s="4"/>
    </row>
    <row r="16" spans="1:11">
      <c r="A16">
        <v>77.349999999999994</v>
      </c>
      <c r="B16" s="4">
        <v>24.1</v>
      </c>
      <c r="C16">
        <v>-6.17</v>
      </c>
      <c r="D16" s="6">
        <v>1.26</v>
      </c>
      <c r="E16">
        <f t="shared" si="0"/>
        <v>1.0899999999999999</v>
      </c>
      <c r="F16">
        <f t="shared" si="1"/>
        <v>24.171999999999997</v>
      </c>
      <c r="H16" s="5"/>
      <c r="J16" s="4"/>
    </row>
    <row r="17" spans="1:10">
      <c r="A17">
        <v>90.67</v>
      </c>
      <c r="B17" s="4">
        <v>28.4</v>
      </c>
      <c r="C17">
        <v>-2.1800000000000002</v>
      </c>
      <c r="D17" s="6">
        <v>1.26</v>
      </c>
      <c r="E17">
        <f t="shared" si="0"/>
        <v>5.08</v>
      </c>
      <c r="F17">
        <f t="shared" si="1"/>
        <v>37.492000000000004</v>
      </c>
      <c r="H17" s="5"/>
      <c r="J17" s="4"/>
    </row>
    <row r="18" spans="1:10">
      <c r="A18">
        <v>98.7</v>
      </c>
      <c r="B18" s="4">
        <v>32.700000000000003</v>
      </c>
      <c r="C18">
        <v>-0.35</v>
      </c>
      <c r="D18" s="6">
        <v>1.26</v>
      </c>
      <c r="E18">
        <f t="shared" si="0"/>
        <v>6.91</v>
      </c>
      <c r="F18">
        <f t="shared" si="1"/>
        <v>45.522000000000006</v>
      </c>
      <c r="H18" s="5"/>
      <c r="J18" s="4"/>
    </row>
    <row r="19" spans="1:10">
      <c r="A19">
        <v>110.3</v>
      </c>
      <c r="B19" s="4">
        <v>37.5</v>
      </c>
      <c r="C19">
        <v>1.91</v>
      </c>
      <c r="D19" s="6">
        <v>1.26</v>
      </c>
      <c r="E19">
        <f t="shared" si="0"/>
        <v>9.17</v>
      </c>
      <c r="F19">
        <f t="shared" si="1"/>
        <v>57.122</v>
      </c>
      <c r="H19" s="5"/>
      <c r="J19" s="4"/>
    </row>
    <row r="20" spans="1:10">
      <c r="A20">
        <v>117.9</v>
      </c>
      <c r="B20" s="4">
        <v>41.4</v>
      </c>
      <c r="C20">
        <v>2.98</v>
      </c>
      <c r="D20" s="6">
        <v>1.26</v>
      </c>
      <c r="E20">
        <f t="shared" si="0"/>
        <v>10.24</v>
      </c>
      <c r="F20">
        <f t="shared" si="1"/>
        <v>64.722000000000008</v>
      </c>
      <c r="H20" s="5"/>
      <c r="J20" s="4"/>
    </row>
    <row r="21" spans="1:10">
      <c r="A21">
        <v>127.8</v>
      </c>
      <c r="B21" s="4">
        <v>45.1</v>
      </c>
      <c r="C21">
        <v>4.24</v>
      </c>
      <c r="D21" s="6">
        <v>1.26</v>
      </c>
      <c r="E21">
        <f t="shared" si="0"/>
        <v>11.5</v>
      </c>
      <c r="F21">
        <f t="shared" si="1"/>
        <v>74.622</v>
      </c>
      <c r="H21" s="5"/>
      <c r="J21" s="4"/>
    </row>
    <row r="22" spans="1:10">
      <c r="A22">
        <v>146.19999999999999</v>
      </c>
      <c r="B22" s="4">
        <v>49</v>
      </c>
      <c r="C22">
        <v>5.92</v>
      </c>
      <c r="D22" s="6">
        <v>1.26</v>
      </c>
      <c r="E22">
        <f t="shared" si="0"/>
        <v>13.18</v>
      </c>
      <c r="F22">
        <f t="shared" si="1"/>
        <v>93.021999999999991</v>
      </c>
      <c r="H22" s="5"/>
      <c r="J22" s="4"/>
    </row>
    <row r="23" spans="1:10">
      <c r="A23">
        <v>150.4</v>
      </c>
      <c r="B23" s="4">
        <v>54.2</v>
      </c>
      <c r="C23">
        <v>6.21</v>
      </c>
      <c r="D23" s="6">
        <v>1.26</v>
      </c>
      <c r="E23">
        <f t="shared" si="0"/>
        <v>13.469999999999999</v>
      </c>
      <c r="F23">
        <f t="shared" si="1"/>
        <v>97.222000000000008</v>
      </c>
      <c r="H23" s="5"/>
      <c r="J23" s="4"/>
    </row>
    <row r="24" spans="1:10">
      <c r="A24">
        <v>153.19999999999999</v>
      </c>
      <c r="B24" s="4">
        <v>59.2</v>
      </c>
      <c r="C24">
        <v>6.41</v>
      </c>
      <c r="D24" s="6">
        <v>1.26</v>
      </c>
      <c r="E24">
        <f t="shared" si="0"/>
        <v>13.67</v>
      </c>
      <c r="F24">
        <f t="shared" si="1"/>
        <v>100.02199999999999</v>
      </c>
      <c r="H24" s="5"/>
      <c r="J24" s="4"/>
    </row>
    <row r="25" spans="1:10">
      <c r="A25">
        <v>156.69999999999999</v>
      </c>
      <c r="B25" s="4">
        <v>65.7</v>
      </c>
      <c r="C25">
        <v>6.59</v>
      </c>
      <c r="D25" s="6">
        <v>1.26</v>
      </c>
      <c r="E25">
        <f t="shared" si="0"/>
        <v>13.85</v>
      </c>
      <c r="F25">
        <f t="shared" si="1"/>
        <v>103.52199999999999</v>
      </c>
      <c r="H25" s="5"/>
      <c r="J25" s="4"/>
    </row>
    <row r="26" spans="1:10">
      <c r="A26">
        <v>160.69999999999999</v>
      </c>
      <c r="B26" s="4">
        <v>69.8</v>
      </c>
      <c r="C26">
        <v>6.77</v>
      </c>
      <c r="D26" s="6">
        <v>1.26</v>
      </c>
      <c r="E26">
        <f t="shared" si="0"/>
        <v>14.03</v>
      </c>
      <c r="F26">
        <f t="shared" si="1"/>
        <v>107.52199999999999</v>
      </c>
      <c r="H26" s="5"/>
      <c r="J26" s="4"/>
    </row>
    <row r="27" spans="1:10">
      <c r="A27">
        <v>163</v>
      </c>
      <c r="B27" s="4">
        <v>74.400000000000006</v>
      </c>
      <c r="C27">
        <v>6.81</v>
      </c>
      <c r="D27" s="6">
        <v>1.26</v>
      </c>
      <c r="E27">
        <f t="shared" si="0"/>
        <v>14.07</v>
      </c>
      <c r="F27">
        <f t="shared" si="1"/>
        <v>109.822</v>
      </c>
      <c r="H27" s="5"/>
      <c r="J27" s="4"/>
    </row>
    <row r="28" spans="1:10">
      <c r="A28">
        <v>166</v>
      </c>
      <c r="B28" s="4">
        <v>77.2</v>
      </c>
      <c r="C28">
        <v>7</v>
      </c>
      <c r="D28" s="6">
        <v>1.26</v>
      </c>
      <c r="E28">
        <f t="shared" si="0"/>
        <v>14.26</v>
      </c>
      <c r="F28">
        <f t="shared" si="1"/>
        <v>112.822</v>
      </c>
      <c r="H28" s="5"/>
      <c r="J28" s="4"/>
    </row>
    <row r="29" spans="1:10">
      <c r="A29">
        <v>168</v>
      </c>
      <c r="B29" s="4">
        <v>82.6</v>
      </c>
      <c r="C29">
        <v>7.01</v>
      </c>
      <c r="D29" s="6">
        <v>1.26</v>
      </c>
      <c r="E29">
        <f t="shared" si="0"/>
        <v>14.27</v>
      </c>
      <c r="F29">
        <f t="shared" si="1"/>
        <v>114.822</v>
      </c>
      <c r="H29" s="5"/>
      <c r="J29" s="4"/>
    </row>
    <row r="30" spans="1:10">
      <c r="A30">
        <v>182</v>
      </c>
      <c r="B30" s="4">
        <v>84.2</v>
      </c>
      <c r="C30">
        <v>6.94</v>
      </c>
      <c r="D30" s="6">
        <v>1.26</v>
      </c>
      <c r="E30">
        <f t="shared" si="0"/>
        <v>14.200000000000001</v>
      </c>
      <c r="F30">
        <f t="shared" si="1"/>
        <v>128.822</v>
      </c>
      <c r="H30" s="5"/>
      <c r="J30" s="4"/>
    </row>
    <row r="31" spans="1:10">
      <c r="A31">
        <f t="shared" ref="A31:A44" si="2">B31+$F$2</f>
        <v>141.578</v>
      </c>
      <c r="B31" s="4">
        <v>88.4</v>
      </c>
      <c r="C31" s="4"/>
      <c r="D31" s="6"/>
      <c r="H31" s="5"/>
      <c r="J31" s="4"/>
    </row>
    <row r="32" spans="1:10">
      <c r="A32">
        <f t="shared" si="2"/>
        <v>145.678</v>
      </c>
      <c r="B32" s="4">
        <v>92.5</v>
      </c>
      <c r="C32" s="4"/>
      <c r="D32" s="6"/>
      <c r="H32" s="5"/>
      <c r="J32" s="4"/>
    </row>
    <row r="33" spans="1:10">
      <c r="A33">
        <f t="shared" si="2"/>
        <v>152.178</v>
      </c>
      <c r="B33" s="4">
        <v>99</v>
      </c>
      <c r="C33" s="4"/>
      <c r="D33" s="6"/>
      <c r="H33" s="5"/>
      <c r="J33" s="4"/>
    </row>
    <row r="34" spans="1:10">
      <c r="A34">
        <f t="shared" si="2"/>
        <v>154.77799999999999</v>
      </c>
      <c r="B34" s="4">
        <v>101.6</v>
      </c>
      <c r="C34" s="4"/>
      <c r="D34" s="6"/>
      <c r="H34" s="5"/>
      <c r="J34" s="4"/>
    </row>
    <row r="35" spans="1:10">
      <c r="A35">
        <f t="shared" si="2"/>
        <v>157.178</v>
      </c>
      <c r="B35" s="4">
        <v>104</v>
      </c>
      <c r="C35" s="4"/>
      <c r="D35" s="6"/>
      <c r="H35" s="5"/>
      <c r="J35" s="4"/>
    </row>
    <row r="36" spans="1:10">
      <c r="A36">
        <f t="shared" si="2"/>
        <v>162.178</v>
      </c>
      <c r="B36" s="4">
        <v>109</v>
      </c>
      <c r="C36" s="4"/>
      <c r="D36" s="6"/>
      <c r="H36" s="5"/>
      <c r="J36" s="4"/>
    </row>
    <row r="37" spans="1:10">
      <c r="A37">
        <f t="shared" si="2"/>
        <v>167.178</v>
      </c>
      <c r="B37" s="4">
        <v>114</v>
      </c>
      <c r="C37" s="4"/>
      <c r="D37" s="6"/>
      <c r="H37" s="5"/>
      <c r="J37" s="4"/>
    </row>
    <row r="38" spans="1:10">
      <c r="A38">
        <f t="shared" si="2"/>
        <v>172.178</v>
      </c>
      <c r="B38" s="4">
        <v>119</v>
      </c>
      <c r="C38" s="4"/>
      <c r="D38" s="6"/>
      <c r="H38" s="5"/>
      <c r="J38" s="4"/>
    </row>
    <row r="39" spans="1:10">
      <c r="A39">
        <f t="shared" si="2"/>
        <v>177.178</v>
      </c>
      <c r="B39" s="4">
        <v>124</v>
      </c>
      <c r="C39" s="4"/>
      <c r="D39" s="6"/>
      <c r="H39" s="5"/>
      <c r="J39" s="4"/>
    </row>
    <row r="40" spans="1:10">
      <c r="A40">
        <f t="shared" si="2"/>
        <v>182.178</v>
      </c>
      <c r="B40" s="4">
        <v>129</v>
      </c>
      <c r="C40" s="4"/>
      <c r="D40" s="6"/>
      <c r="H40" s="5"/>
      <c r="J40" s="4"/>
    </row>
    <row r="41" spans="1:10">
      <c r="A41">
        <f t="shared" si="2"/>
        <v>187.178</v>
      </c>
      <c r="B41" s="4">
        <v>134</v>
      </c>
      <c r="C41" s="4"/>
      <c r="D41" s="6"/>
      <c r="H41" s="5"/>
    </row>
    <row r="42" spans="1:10">
      <c r="A42">
        <f t="shared" si="2"/>
        <v>53.177999999999997</v>
      </c>
      <c r="C42" s="4"/>
      <c r="D42" s="6"/>
    </row>
    <row r="43" spans="1:10" ht="14.25">
      <c r="A43">
        <f t="shared" si="2"/>
        <v>53.177999999999997</v>
      </c>
      <c r="B43" s="3"/>
      <c r="C43" s="4"/>
      <c r="D43" s="6"/>
    </row>
    <row r="44" spans="1:10" ht="14.25">
      <c r="A44">
        <f t="shared" si="2"/>
        <v>53.177999999999997</v>
      </c>
      <c r="B44" s="3"/>
      <c r="C44" s="4"/>
      <c r="D44" s="6"/>
    </row>
    <row r="45" spans="1:10" ht="15">
      <c r="A45" s="2"/>
      <c r="B45" s="3"/>
      <c r="C45" s="1"/>
      <c r="D45" s="1"/>
    </row>
    <row r="52" spans="1:8" ht="15">
      <c r="A52" s="2" t="s">
        <v>0</v>
      </c>
      <c r="B52" s="3" t="s">
        <v>9</v>
      </c>
      <c r="C52" s="1" t="s">
        <v>8</v>
      </c>
      <c r="D52" s="1" t="s">
        <v>10</v>
      </c>
      <c r="G52" s="1"/>
      <c r="H52" s="1"/>
    </row>
    <row r="53" spans="1:8" ht="15">
      <c r="A53" s="2" t="s">
        <v>7</v>
      </c>
      <c r="B53" s="3"/>
      <c r="H53" s="5"/>
    </row>
    <row r="54" spans="1:8">
      <c r="H54" s="5"/>
    </row>
    <row r="55" spans="1:8">
      <c r="B55" s="1" t="s">
        <v>4</v>
      </c>
      <c r="C55">
        <v>17</v>
      </c>
      <c r="H55" s="5"/>
    </row>
    <row r="56" spans="1:8">
      <c r="B56" s="1" t="s">
        <v>1</v>
      </c>
      <c r="C56">
        <v>-4</v>
      </c>
      <c r="H56" s="5"/>
    </row>
    <row r="57" spans="1:8">
      <c r="H57" s="5"/>
    </row>
    <row r="58" spans="1:8">
      <c r="A58" s="1" t="s">
        <v>14</v>
      </c>
      <c r="B58" s="1" t="s">
        <v>5</v>
      </c>
      <c r="C58" s="1" t="s">
        <v>2</v>
      </c>
      <c r="D58" s="1" t="s">
        <v>6</v>
      </c>
      <c r="E58" s="1" t="s">
        <v>3</v>
      </c>
      <c r="F58" s="1" t="s">
        <v>16</v>
      </c>
      <c r="H58" s="5"/>
    </row>
    <row r="59" spans="1:8">
      <c r="A59">
        <f>B59+$G$2</f>
        <v>70.42</v>
      </c>
      <c r="B59">
        <v>0.42000000000000171</v>
      </c>
      <c r="D59" s="6">
        <v>0.53</v>
      </c>
      <c r="F59">
        <f>A59-$G$2</f>
        <v>0.42000000000000171</v>
      </c>
      <c r="H59" s="5"/>
    </row>
    <row r="60" spans="1:8">
      <c r="A60">
        <f t="shared" ref="A60:A99" si="3">B60+$G$2</f>
        <v>70.92</v>
      </c>
      <c r="B60">
        <v>0.92000000000000171</v>
      </c>
      <c r="D60" s="6">
        <v>0.53</v>
      </c>
      <c r="F60">
        <f t="shared" ref="F60:F99" si="4">A60-$G$2</f>
        <v>0.92000000000000171</v>
      </c>
      <c r="H60" s="5"/>
    </row>
    <row r="61" spans="1:8">
      <c r="A61">
        <v>101.17</v>
      </c>
      <c r="B61" s="4">
        <v>1.179000000000002</v>
      </c>
      <c r="C61">
        <v>-34.25</v>
      </c>
      <c r="D61" s="6">
        <v>0.53</v>
      </c>
      <c r="E61">
        <f t="shared" ref="E61:E99" si="5">C61+D61+$E$3</f>
        <v>-27.72</v>
      </c>
      <c r="F61">
        <f t="shared" si="4"/>
        <v>31.17</v>
      </c>
      <c r="H61" s="5"/>
    </row>
    <row r="62" spans="1:8">
      <c r="A62">
        <v>104.09</v>
      </c>
      <c r="B62" s="4">
        <v>4.0849999999999937</v>
      </c>
      <c r="C62">
        <v>-23.15</v>
      </c>
      <c r="D62" s="6">
        <v>0.53</v>
      </c>
      <c r="E62">
        <f t="shared" si="5"/>
        <v>-16.619999999999997</v>
      </c>
      <c r="F62">
        <f t="shared" si="4"/>
        <v>34.090000000000003</v>
      </c>
      <c r="H62" s="5"/>
    </row>
    <row r="63" spans="1:8">
      <c r="A63">
        <v>107.05</v>
      </c>
      <c r="B63" s="4">
        <v>7.0349999999999966</v>
      </c>
      <c r="C63">
        <v>-17.73</v>
      </c>
      <c r="D63" s="6">
        <v>0.53</v>
      </c>
      <c r="E63">
        <f t="shared" si="5"/>
        <v>-11.2</v>
      </c>
      <c r="F63">
        <f t="shared" si="4"/>
        <v>37.049999999999997</v>
      </c>
      <c r="H63" s="5"/>
    </row>
    <row r="64" spans="1:8">
      <c r="A64">
        <v>112.22</v>
      </c>
      <c r="B64" s="4">
        <v>12.435000000000002</v>
      </c>
      <c r="C64">
        <v>-13.13</v>
      </c>
      <c r="D64" s="6">
        <v>0.53</v>
      </c>
      <c r="E64">
        <f t="shared" si="5"/>
        <v>-6.6000000000000014</v>
      </c>
      <c r="F64">
        <f t="shared" si="4"/>
        <v>42.22</v>
      </c>
      <c r="H64" s="5"/>
    </row>
    <row r="65" spans="1:8">
      <c r="A65">
        <v>116.36</v>
      </c>
      <c r="B65" s="4">
        <v>16.334999999999994</v>
      </c>
      <c r="C65">
        <v>-10.65</v>
      </c>
      <c r="D65" s="6">
        <v>0.53</v>
      </c>
      <c r="E65">
        <f t="shared" si="5"/>
        <v>-4.120000000000001</v>
      </c>
      <c r="F65">
        <f t="shared" si="4"/>
        <v>46.36</v>
      </c>
      <c r="H65" s="5"/>
    </row>
    <row r="66" spans="1:8">
      <c r="A66">
        <v>120.45</v>
      </c>
      <c r="B66" s="4">
        <v>20.125</v>
      </c>
      <c r="C66">
        <v>-8.74</v>
      </c>
      <c r="D66" s="6">
        <v>0.53</v>
      </c>
      <c r="E66">
        <f t="shared" si="5"/>
        <v>-2.2100000000000009</v>
      </c>
      <c r="F66">
        <f t="shared" si="4"/>
        <v>50.45</v>
      </c>
      <c r="H66" s="5"/>
    </row>
    <row r="67" spans="1:8">
      <c r="A67">
        <v>124.6</v>
      </c>
      <c r="B67" s="4">
        <v>24.465000000000003</v>
      </c>
      <c r="C67">
        <v>-7.15</v>
      </c>
      <c r="D67" s="6">
        <v>0.53</v>
      </c>
      <c r="E67">
        <f t="shared" si="5"/>
        <v>-0.62000000000000011</v>
      </c>
      <c r="F67">
        <f t="shared" si="4"/>
        <v>54.599999999999994</v>
      </c>
      <c r="H67" s="5"/>
    </row>
    <row r="68" spans="1:8">
      <c r="A68">
        <v>128.30000000000001</v>
      </c>
      <c r="B68" s="4">
        <v>28.685000000000002</v>
      </c>
      <c r="C68">
        <v>-5.92</v>
      </c>
      <c r="D68" s="6">
        <v>0.53</v>
      </c>
      <c r="E68">
        <f t="shared" si="5"/>
        <v>0.61000000000000032</v>
      </c>
      <c r="F68">
        <f t="shared" si="4"/>
        <v>58.300000000000011</v>
      </c>
      <c r="H68" s="5"/>
    </row>
    <row r="69" spans="1:8">
      <c r="A69">
        <v>132.19999999999999</v>
      </c>
      <c r="B69" s="4">
        <v>32.284999999999997</v>
      </c>
      <c r="C69">
        <v>-4.82</v>
      </c>
      <c r="D69" s="6">
        <v>0.53</v>
      </c>
      <c r="E69">
        <f t="shared" si="5"/>
        <v>1.71</v>
      </c>
      <c r="F69">
        <f t="shared" si="4"/>
        <v>62.199999999999989</v>
      </c>
      <c r="H69" s="5"/>
    </row>
    <row r="70" spans="1:8">
      <c r="A70">
        <v>137.44999999999999</v>
      </c>
      <c r="B70" s="4">
        <v>37.885000000000005</v>
      </c>
      <c r="C70">
        <v>-3.52</v>
      </c>
      <c r="D70" s="6">
        <v>0.53</v>
      </c>
      <c r="E70">
        <f t="shared" si="5"/>
        <v>3.01</v>
      </c>
      <c r="F70">
        <f t="shared" si="4"/>
        <v>67.449999999999989</v>
      </c>
      <c r="H70" s="5"/>
    </row>
    <row r="71" spans="1:8">
      <c r="A71">
        <v>141.6</v>
      </c>
      <c r="B71" s="4">
        <v>41.584999999999994</v>
      </c>
      <c r="C71">
        <v>-2.61</v>
      </c>
      <c r="D71" s="6">
        <v>0.53</v>
      </c>
      <c r="E71">
        <f t="shared" si="5"/>
        <v>3.92</v>
      </c>
      <c r="F71">
        <f t="shared" si="4"/>
        <v>71.599999999999994</v>
      </c>
      <c r="H71" s="5"/>
    </row>
    <row r="72" spans="1:8">
      <c r="A72">
        <v>145.69999999999999</v>
      </c>
      <c r="B72" s="4">
        <v>45.185000000000002</v>
      </c>
      <c r="C72">
        <v>-1.8</v>
      </c>
      <c r="D72" s="6">
        <v>0.53</v>
      </c>
      <c r="E72">
        <f t="shared" si="5"/>
        <v>4.7300000000000004</v>
      </c>
      <c r="F72">
        <f t="shared" si="4"/>
        <v>75.699999999999989</v>
      </c>
      <c r="H72" s="5"/>
    </row>
    <row r="73" spans="1:8">
      <c r="A73">
        <v>150</v>
      </c>
      <c r="B73" s="4">
        <v>49.984999999999999</v>
      </c>
      <c r="C73">
        <v>-1.01</v>
      </c>
      <c r="D73" s="6">
        <v>0.53</v>
      </c>
      <c r="E73">
        <f t="shared" si="5"/>
        <v>5.52</v>
      </c>
      <c r="F73">
        <f t="shared" si="4"/>
        <v>80</v>
      </c>
      <c r="H73" s="5"/>
    </row>
    <row r="74" spans="1:8">
      <c r="A74">
        <v>157.4</v>
      </c>
      <c r="B74" s="4">
        <v>57.584999999999994</v>
      </c>
      <c r="C74">
        <v>0.15</v>
      </c>
      <c r="D74" s="6">
        <v>0.53</v>
      </c>
      <c r="E74">
        <f t="shared" si="5"/>
        <v>6.68</v>
      </c>
      <c r="F74">
        <f t="shared" si="4"/>
        <v>87.4</v>
      </c>
      <c r="H74" s="5"/>
    </row>
    <row r="75" spans="1:8">
      <c r="A75">
        <v>165.8</v>
      </c>
      <c r="B75" s="4">
        <v>65.084999999999994</v>
      </c>
      <c r="C75">
        <v>1.31</v>
      </c>
      <c r="D75" s="6">
        <v>0.53</v>
      </c>
      <c r="E75">
        <f t="shared" si="5"/>
        <v>7.84</v>
      </c>
      <c r="F75">
        <f t="shared" si="4"/>
        <v>95.800000000000011</v>
      </c>
      <c r="H75" s="5"/>
    </row>
    <row r="76" spans="1:8">
      <c r="A76">
        <v>176.8</v>
      </c>
      <c r="B76" s="4">
        <v>74.584999999999994</v>
      </c>
      <c r="C76">
        <v>2.65</v>
      </c>
      <c r="D76" s="6">
        <v>0.53</v>
      </c>
      <c r="E76">
        <f t="shared" si="5"/>
        <v>9.18</v>
      </c>
      <c r="F76">
        <f t="shared" si="4"/>
        <v>106.80000000000001</v>
      </c>
      <c r="H76" s="5"/>
    </row>
    <row r="77" spans="1:8">
      <c r="A77">
        <v>179.4</v>
      </c>
      <c r="B77" s="4">
        <v>78.984999999999999</v>
      </c>
      <c r="C77">
        <v>2.92</v>
      </c>
      <c r="D77" s="6">
        <v>0.53</v>
      </c>
      <c r="E77">
        <f t="shared" si="5"/>
        <v>9.4499999999999993</v>
      </c>
      <c r="F77">
        <f t="shared" si="4"/>
        <v>109.4</v>
      </c>
      <c r="H77" s="5"/>
    </row>
    <row r="78" spans="1:8">
      <c r="A78">
        <v>181.5</v>
      </c>
      <c r="B78" s="4">
        <v>81.885000000000005</v>
      </c>
      <c r="C78">
        <v>3.16</v>
      </c>
      <c r="D78" s="6">
        <v>0.53</v>
      </c>
      <c r="E78">
        <f t="shared" si="5"/>
        <v>9.6900000000000013</v>
      </c>
      <c r="F78">
        <f t="shared" si="4"/>
        <v>111.5</v>
      </c>
      <c r="H78" s="5"/>
    </row>
    <row r="79" spans="1:8">
      <c r="A79">
        <v>186.6</v>
      </c>
      <c r="B79" s="4">
        <v>86.385000000000005</v>
      </c>
      <c r="C79">
        <v>3.65</v>
      </c>
      <c r="D79" s="6">
        <v>0.53</v>
      </c>
      <c r="E79">
        <f t="shared" si="5"/>
        <v>10.18</v>
      </c>
      <c r="F79">
        <f t="shared" si="4"/>
        <v>116.6</v>
      </c>
      <c r="H79" s="5"/>
    </row>
    <row r="80" spans="1:8">
      <c r="A80">
        <v>196.6</v>
      </c>
      <c r="B80" s="4">
        <v>96.184999999999988</v>
      </c>
      <c r="C80">
        <v>4.5599999999999996</v>
      </c>
      <c r="D80" s="6">
        <v>0.53</v>
      </c>
      <c r="E80">
        <f t="shared" si="5"/>
        <v>11.09</v>
      </c>
      <c r="F80">
        <f t="shared" si="4"/>
        <v>126.6</v>
      </c>
      <c r="H80" s="5"/>
    </row>
    <row r="81" spans="1:8">
      <c r="A81">
        <v>207.8</v>
      </c>
      <c r="B81" s="4">
        <v>106.78500000000001</v>
      </c>
      <c r="C81">
        <v>5.53</v>
      </c>
      <c r="D81" s="6">
        <v>0.53</v>
      </c>
      <c r="E81">
        <f t="shared" si="5"/>
        <v>12.06</v>
      </c>
      <c r="F81">
        <f t="shared" si="4"/>
        <v>137.80000000000001</v>
      </c>
      <c r="H81" s="5"/>
    </row>
    <row r="82" spans="1:8">
      <c r="A82">
        <v>214.5</v>
      </c>
      <c r="B82" s="4">
        <v>114.485</v>
      </c>
      <c r="C82" s="4">
        <v>6.01</v>
      </c>
      <c r="D82" s="6">
        <v>0.53</v>
      </c>
      <c r="E82">
        <f t="shared" si="5"/>
        <v>12.54</v>
      </c>
      <c r="F82">
        <f t="shared" si="4"/>
        <v>144.5</v>
      </c>
      <c r="H82" s="5"/>
    </row>
    <row r="83" spans="1:8">
      <c r="A83">
        <v>220.5</v>
      </c>
      <c r="B83" s="4">
        <v>124.28500000000001</v>
      </c>
      <c r="C83" s="4">
        <v>6.41</v>
      </c>
      <c r="D83" s="6">
        <v>0.53</v>
      </c>
      <c r="E83">
        <f t="shared" si="5"/>
        <v>12.940000000000001</v>
      </c>
      <c r="F83">
        <f t="shared" si="4"/>
        <v>150.5</v>
      </c>
      <c r="H83" s="5"/>
    </row>
    <row r="84" spans="1:8">
      <c r="A84">
        <v>227</v>
      </c>
      <c r="B84" s="4">
        <v>134.685</v>
      </c>
      <c r="C84" s="4">
        <v>6.8</v>
      </c>
      <c r="D84" s="6">
        <v>0.53</v>
      </c>
      <c r="E84">
        <f t="shared" si="5"/>
        <v>13.33</v>
      </c>
      <c r="F84">
        <f t="shared" si="4"/>
        <v>157</v>
      </c>
      <c r="H84" s="5"/>
    </row>
    <row r="85" spans="1:8">
      <c r="A85">
        <v>235.7</v>
      </c>
      <c r="B85" s="4">
        <v>144.98500000000001</v>
      </c>
      <c r="C85" s="4">
        <v>7.33</v>
      </c>
      <c r="D85" s="6">
        <v>0.53</v>
      </c>
      <c r="E85">
        <f t="shared" si="5"/>
        <v>13.86</v>
      </c>
      <c r="F85">
        <f t="shared" si="4"/>
        <v>165.7</v>
      </c>
      <c r="H85" s="5"/>
    </row>
    <row r="86" spans="1:8">
      <c r="A86">
        <v>241.8</v>
      </c>
      <c r="B86" s="4">
        <v>110.13000000000001</v>
      </c>
      <c r="C86" s="4">
        <v>7.63</v>
      </c>
      <c r="D86" s="6">
        <v>0.53</v>
      </c>
      <c r="E86">
        <f t="shared" si="5"/>
        <v>14.16</v>
      </c>
      <c r="F86">
        <f t="shared" si="4"/>
        <v>171.8</v>
      </c>
      <c r="H86" s="5"/>
    </row>
    <row r="87" spans="1:8">
      <c r="A87">
        <v>245.4</v>
      </c>
      <c r="B87" s="4">
        <v>112.23</v>
      </c>
      <c r="C87" s="4">
        <v>7.8</v>
      </c>
      <c r="D87" s="6">
        <v>0.53</v>
      </c>
      <c r="E87">
        <f t="shared" si="5"/>
        <v>14.33</v>
      </c>
      <c r="F87">
        <f t="shared" si="4"/>
        <v>175.4</v>
      </c>
    </row>
    <row r="88" spans="1:8">
      <c r="A88">
        <v>250</v>
      </c>
      <c r="B88" s="4">
        <v>118.13000000000001</v>
      </c>
      <c r="C88" s="4">
        <v>8.01</v>
      </c>
      <c r="D88" s="6">
        <v>0.53</v>
      </c>
      <c r="E88">
        <f t="shared" si="5"/>
        <v>14.54</v>
      </c>
      <c r="F88">
        <f t="shared" si="4"/>
        <v>180</v>
      </c>
    </row>
    <row r="89" spans="1:8">
      <c r="A89">
        <v>252.1</v>
      </c>
      <c r="B89" s="4">
        <v>121.23</v>
      </c>
      <c r="C89" s="4">
        <v>8.07</v>
      </c>
      <c r="D89" s="6">
        <v>0.53</v>
      </c>
      <c r="E89">
        <f t="shared" si="5"/>
        <v>14.6</v>
      </c>
      <c r="F89">
        <f t="shared" si="4"/>
        <v>182.1</v>
      </c>
    </row>
    <row r="90" spans="1:8">
      <c r="A90">
        <f t="shared" si="3"/>
        <v>194.73000000000002</v>
      </c>
      <c r="B90" s="4">
        <v>124.73</v>
      </c>
      <c r="C90" s="4"/>
      <c r="D90" s="6">
        <v>0.53</v>
      </c>
      <c r="E90">
        <f t="shared" si="5"/>
        <v>6.53</v>
      </c>
      <c r="F90">
        <f t="shared" si="4"/>
        <v>124.73000000000002</v>
      </c>
    </row>
    <row r="91" spans="1:8">
      <c r="A91">
        <f t="shared" si="3"/>
        <v>202.73</v>
      </c>
      <c r="B91" s="4">
        <v>132.72999999999999</v>
      </c>
      <c r="C91" s="4"/>
      <c r="D91" s="6">
        <v>0.53</v>
      </c>
      <c r="E91">
        <f t="shared" si="5"/>
        <v>6.53</v>
      </c>
      <c r="F91">
        <f t="shared" si="4"/>
        <v>132.72999999999999</v>
      </c>
    </row>
    <row r="92" spans="1:8">
      <c r="A92">
        <f t="shared" si="3"/>
        <v>223.73</v>
      </c>
      <c r="B92" s="4">
        <v>153.72999999999999</v>
      </c>
      <c r="C92" s="4"/>
      <c r="D92" s="6">
        <v>0.53</v>
      </c>
      <c r="E92">
        <f t="shared" si="5"/>
        <v>6.53</v>
      </c>
      <c r="F92">
        <f t="shared" si="4"/>
        <v>153.72999999999999</v>
      </c>
    </row>
    <row r="93" spans="1:8">
      <c r="A93">
        <f t="shared" si="3"/>
        <v>226.73</v>
      </c>
      <c r="B93">
        <v>156.72999999999999</v>
      </c>
      <c r="C93" s="4"/>
      <c r="D93" s="6">
        <v>0.53</v>
      </c>
      <c r="E93">
        <f t="shared" si="5"/>
        <v>6.53</v>
      </c>
      <c r="F93">
        <f t="shared" si="4"/>
        <v>156.72999999999999</v>
      </c>
    </row>
    <row r="94" spans="1:8">
      <c r="A94">
        <f t="shared" si="3"/>
        <v>230.23</v>
      </c>
      <c r="B94" s="4">
        <v>160.22999999999999</v>
      </c>
      <c r="C94" s="4"/>
      <c r="D94" s="6">
        <v>0.53</v>
      </c>
      <c r="E94">
        <f t="shared" si="5"/>
        <v>6.53</v>
      </c>
      <c r="F94">
        <f t="shared" si="4"/>
        <v>160.22999999999999</v>
      </c>
    </row>
    <row r="95" spans="1:8" ht="14.25">
      <c r="A95">
        <f t="shared" si="3"/>
        <v>232.73</v>
      </c>
      <c r="B95" s="3">
        <v>162.72999999999999</v>
      </c>
      <c r="C95" s="4"/>
      <c r="D95" s="6">
        <v>0.53</v>
      </c>
      <c r="E95">
        <f t="shared" si="5"/>
        <v>6.53</v>
      </c>
      <c r="F95">
        <f t="shared" si="4"/>
        <v>162.72999999999999</v>
      </c>
    </row>
    <row r="96" spans="1:8">
      <c r="A96">
        <f t="shared" si="3"/>
        <v>70</v>
      </c>
      <c r="C96" s="4"/>
      <c r="D96" s="6">
        <v>0.53</v>
      </c>
      <c r="E96">
        <f t="shared" si="5"/>
        <v>6.53</v>
      </c>
      <c r="F96">
        <f t="shared" si="4"/>
        <v>0</v>
      </c>
    </row>
    <row r="97" spans="1:8">
      <c r="A97">
        <f t="shared" si="3"/>
        <v>70</v>
      </c>
      <c r="D97" s="6">
        <v>0.53</v>
      </c>
      <c r="E97">
        <f t="shared" si="5"/>
        <v>6.53</v>
      </c>
      <c r="F97">
        <f t="shared" si="4"/>
        <v>0</v>
      </c>
    </row>
    <row r="98" spans="1:8">
      <c r="A98">
        <f t="shared" si="3"/>
        <v>70</v>
      </c>
      <c r="D98" s="6">
        <v>0.53</v>
      </c>
      <c r="E98">
        <f t="shared" si="5"/>
        <v>6.53</v>
      </c>
      <c r="F98">
        <f t="shared" si="4"/>
        <v>0</v>
      </c>
    </row>
    <row r="99" spans="1:8">
      <c r="A99">
        <f t="shared" si="3"/>
        <v>70</v>
      </c>
      <c r="D99" s="6">
        <v>0.53</v>
      </c>
      <c r="E99">
        <f t="shared" si="5"/>
        <v>6.53</v>
      </c>
      <c r="F99">
        <f t="shared" si="4"/>
        <v>0</v>
      </c>
      <c r="G99" s="1"/>
      <c r="H99" s="1"/>
    </row>
    <row r="100" spans="1:8">
      <c r="H100" s="5"/>
    </row>
    <row r="101" spans="1:8">
      <c r="H101" s="5"/>
    </row>
    <row r="102" spans="1:8">
      <c r="H102" s="5"/>
    </row>
    <row r="103" spans="1:8">
      <c r="H103" s="5"/>
    </row>
    <row r="104" spans="1:8">
      <c r="H104" s="5"/>
    </row>
    <row r="105" spans="1:8">
      <c r="H105" s="5"/>
    </row>
    <row r="106" spans="1:8" ht="15">
      <c r="A106" s="2" t="s">
        <v>0</v>
      </c>
      <c r="B106" s="3" t="s">
        <v>9</v>
      </c>
      <c r="C106" s="1" t="s">
        <v>8</v>
      </c>
      <c r="D106" s="1" t="s">
        <v>10</v>
      </c>
      <c r="H106" s="5"/>
    </row>
    <row r="107" spans="1:8" ht="15">
      <c r="A107" s="2" t="s">
        <v>7</v>
      </c>
      <c r="B107" s="3"/>
      <c r="H107" s="5"/>
    </row>
    <row r="108" spans="1:8">
      <c r="H108" s="5"/>
    </row>
    <row r="109" spans="1:8">
      <c r="B109" s="1" t="s">
        <v>4</v>
      </c>
      <c r="C109">
        <v>14</v>
      </c>
      <c r="H109" s="5"/>
    </row>
    <row r="110" spans="1:8">
      <c r="B110" s="1" t="s">
        <v>1</v>
      </c>
      <c r="C110">
        <v>-5</v>
      </c>
      <c r="H110" s="5"/>
    </row>
    <row r="111" spans="1:8">
      <c r="H111" s="5"/>
    </row>
    <row r="112" spans="1:8">
      <c r="A112" s="1" t="s">
        <v>14</v>
      </c>
      <c r="B112" s="1" t="s">
        <v>5</v>
      </c>
      <c r="C112" s="1" t="s">
        <v>2</v>
      </c>
      <c r="D112" s="1" t="s">
        <v>6</v>
      </c>
      <c r="E112" s="1" t="s">
        <v>3</v>
      </c>
      <c r="F112" s="1" t="s">
        <v>16</v>
      </c>
      <c r="H112" s="5"/>
    </row>
    <row r="113" spans="1:8">
      <c r="A113">
        <f>B113+$H$2</f>
        <v>122.75</v>
      </c>
      <c r="B113">
        <v>0.44999999999999929</v>
      </c>
      <c r="D113" s="6">
        <v>0.53</v>
      </c>
      <c r="E113">
        <f>C113+D113+$E$3</f>
        <v>6.53</v>
      </c>
      <c r="F113">
        <f>A113-$H$2</f>
        <v>0.45000000000000284</v>
      </c>
      <c r="H113" s="5"/>
    </row>
    <row r="114" spans="1:8">
      <c r="A114">
        <f t="shared" ref="A114:A153" si="6">B114+$H$2</f>
        <v>123.27</v>
      </c>
      <c r="B114">
        <v>0.96999999999999886</v>
      </c>
      <c r="D114" s="6">
        <v>0.53</v>
      </c>
      <c r="E114">
        <f t="shared" ref="E114:E153" si="7">C114+D114+$E$3</f>
        <v>6.53</v>
      </c>
      <c r="F114">
        <f t="shared" ref="F114:F153" si="8">A114-$H$2</f>
        <v>0.96999999999999886</v>
      </c>
      <c r="H114" s="5"/>
    </row>
    <row r="115" spans="1:8">
      <c r="A115">
        <f t="shared" si="6"/>
        <v>123.53999999999999</v>
      </c>
      <c r="B115" s="4">
        <v>1.2399999999999984</v>
      </c>
      <c r="D115" s="6">
        <v>0.53</v>
      </c>
      <c r="E115">
        <f t="shared" si="7"/>
        <v>6.53</v>
      </c>
      <c r="F115">
        <f t="shared" si="8"/>
        <v>1.2399999999999949</v>
      </c>
      <c r="H115" s="5"/>
    </row>
    <row r="116" spans="1:8">
      <c r="A116">
        <f t="shared" si="6"/>
        <v>126.16</v>
      </c>
      <c r="B116" s="4">
        <v>3.8599999999999994</v>
      </c>
      <c r="D116" s="6">
        <v>0.53</v>
      </c>
      <c r="E116">
        <f t="shared" si="7"/>
        <v>6.53</v>
      </c>
      <c r="F116">
        <f t="shared" si="8"/>
        <v>3.8599999999999994</v>
      </c>
      <c r="H116" s="5"/>
    </row>
    <row r="117" spans="1:8">
      <c r="A117">
        <f t="shared" si="6"/>
        <v>129.19</v>
      </c>
      <c r="B117" s="4">
        <v>6.8900000000000006</v>
      </c>
      <c r="D117" s="6">
        <v>0.53</v>
      </c>
      <c r="E117">
        <f t="shared" si="7"/>
        <v>6.53</v>
      </c>
      <c r="F117">
        <f t="shared" si="8"/>
        <v>6.8900000000000006</v>
      </c>
      <c r="H117" s="5"/>
    </row>
    <row r="118" spans="1:8">
      <c r="A118">
        <f t="shared" si="6"/>
        <v>134.31</v>
      </c>
      <c r="B118" s="4">
        <v>12.009999999999998</v>
      </c>
      <c r="D118" s="6">
        <v>0.53</v>
      </c>
      <c r="E118">
        <f t="shared" si="7"/>
        <v>6.53</v>
      </c>
      <c r="F118">
        <f t="shared" si="8"/>
        <v>12.010000000000005</v>
      </c>
      <c r="H118" s="5"/>
    </row>
    <row r="119" spans="1:8">
      <c r="A119">
        <f t="shared" si="6"/>
        <v>138.4</v>
      </c>
      <c r="B119" s="4">
        <v>16.100000000000001</v>
      </c>
      <c r="D119" s="6">
        <v>0.53</v>
      </c>
      <c r="E119">
        <f t="shared" si="7"/>
        <v>6.53</v>
      </c>
      <c r="F119">
        <f t="shared" si="8"/>
        <v>16.100000000000009</v>
      </c>
      <c r="H119" s="5"/>
    </row>
    <row r="120" spans="1:8">
      <c r="A120">
        <f t="shared" si="6"/>
        <v>142.35</v>
      </c>
      <c r="B120" s="4">
        <v>20.049999999999997</v>
      </c>
      <c r="D120" s="6">
        <v>0.53</v>
      </c>
      <c r="E120">
        <f t="shared" si="7"/>
        <v>6.53</v>
      </c>
      <c r="F120">
        <f t="shared" si="8"/>
        <v>20.049999999999997</v>
      </c>
      <c r="H120" s="5"/>
    </row>
    <row r="121" spans="1:8">
      <c r="A121">
        <f t="shared" si="6"/>
        <v>146.30000000000001</v>
      </c>
      <c r="B121" s="4">
        <v>24</v>
      </c>
      <c r="D121" s="6">
        <v>0.53</v>
      </c>
      <c r="E121">
        <f t="shared" si="7"/>
        <v>6.53</v>
      </c>
      <c r="F121">
        <f t="shared" si="8"/>
        <v>24.000000000000014</v>
      </c>
      <c r="H121" s="5"/>
    </row>
    <row r="122" spans="1:8">
      <c r="A122">
        <f t="shared" si="6"/>
        <v>150.35</v>
      </c>
      <c r="B122" s="4">
        <v>28.049999999999997</v>
      </c>
      <c r="D122" s="6">
        <v>0.53</v>
      </c>
      <c r="E122">
        <f t="shared" si="7"/>
        <v>6.53</v>
      </c>
      <c r="F122">
        <f t="shared" si="8"/>
        <v>28.049999999999997</v>
      </c>
      <c r="H122" s="5"/>
    </row>
    <row r="123" spans="1:8">
      <c r="A123">
        <f t="shared" si="6"/>
        <v>153.94999999999999</v>
      </c>
      <c r="B123" s="4">
        <v>31.65</v>
      </c>
      <c r="D123" s="6">
        <v>0.53</v>
      </c>
      <c r="E123">
        <f t="shared" si="7"/>
        <v>6.53</v>
      </c>
      <c r="F123">
        <f t="shared" si="8"/>
        <v>31.649999999999991</v>
      </c>
      <c r="H123" s="5"/>
    </row>
    <row r="124" spans="1:8">
      <c r="A124">
        <f t="shared" si="6"/>
        <v>159.25</v>
      </c>
      <c r="B124" s="4">
        <v>36.950000000000003</v>
      </c>
      <c r="D124" s="6">
        <v>0.53</v>
      </c>
      <c r="E124">
        <f t="shared" si="7"/>
        <v>6.53</v>
      </c>
      <c r="F124">
        <f t="shared" si="8"/>
        <v>36.950000000000003</v>
      </c>
      <c r="H124" s="5"/>
    </row>
    <row r="125" spans="1:8">
      <c r="A125">
        <f t="shared" si="6"/>
        <v>164.05</v>
      </c>
      <c r="B125" s="4">
        <v>41.75</v>
      </c>
      <c r="D125" s="6">
        <v>0.53</v>
      </c>
      <c r="E125">
        <f t="shared" si="7"/>
        <v>6.53</v>
      </c>
      <c r="F125">
        <f t="shared" si="8"/>
        <v>41.750000000000014</v>
      </c>
      <c r="H125" s="5"/>
    </row>
    <row r="126" spans="1:8">
      <c r="A126">
        <f t="shared" si="6"/>
        <v>166.35</v>
      </c>
      <c r="B126" s="4">
        <v>44.05</v>
      </c>
      <c r="D126" s="6">
        <v>0.53</v>
      </c>
      <c r="E126">
        <f t="shared" si="7"/>
        <v>6.53</v>
      </c>
      <c r="F126">
        <f t="shared" si="8"/>
        <v>44.05</v>
      </c>
      <c r="H126" s="5"/>
    </row>
    <row r="127" spans="1:8">
      <c r="A127">
        <f t="shared" si="6"/>
        <v>171.35</v>
      </c>
      <c r="B127" s="4">
        <v>49.05</v>
      </c>
      <c r="D127" s="6">
        <v>0.53</v>
      </c>
      <c r="E127">
        <f t="shared" si="7"/>
        <v>6.53</v>
      </c>
      <c r="F127">
        <f t="shared" si="8"/>
        <v>49.05</v>
      </c>
      <c r="H127" s="5"/>
    </row>
    <row r="128" spans="1:8">
      <c r="A128">
        <f t="shared" si="6"/>
        <v>176.14999999999998</v>
      </c>
      <c r="B128" s="4">
        <v>53.849999999999994</v>
      </c>
      <c r="D128" s="6">
        <v>0.53</v>
      </c>
      <c r="E128">
        <f t="shared" si="7"/>
        <v>6.53</v>
      </c>
      <c r="F128">
        <f t="shared" si="8"/>
        <v>53.84999999999998</v>
      </c>
      <c r="H128" s="5"/>
    </row>
    <row r="129" spans="1:8">
      <c r="A129">
        <f t="shared" si="6"/>
        <v>180.05</v>
      </c>
      <c r="B129" s="4">
        <v>57.75</v>
      </c>
      <c r="D129" s="6">
        <v>0.53</v>
      </c>
      <c r="E129">
        <f t="shared" si="7"/>
        <v>6.53</v>
      </c>
      <c r="F129">
        <f t="shared" si="8"/>
        <v>57.750000000000014</v>
      </c>
      <c r="H129" s="5"/>
    </row>
    <row r="130" spans="1:8">
      <c r="A130">
        <f t="shared" si="6"/>
        <v>188.55</v>
      </c>
      <c r="B130" s="4">
        <v>66.25</v>
      </c>
      <c r="D130" s="6">
        <v>0.53</v>
      </c>
      <c r="E130">
        <f t="shared" si="7"/>
        <v>6.53</v>
      </c>
      <c r="F130">
        <f t="shared" si="8"/>
        <v>66.250000000000014</v>
      </c>
      <c r="H130" s="5"/>
    </row>
    <row r="131" spans="1:8">
      <c r="A131">
        <f t="shared" si="6"/>
        <v>195.05</v>
      </c>
      <c r="B131" s="4">
        <v>72.75</v>
      </c>
      <c r="D131" s="6">
        <v>0.53</v>
      </c>
      <c r="E131">
        <f t="shared" si="7"/>
        <v>6.53</v>
      </c>
      <c r="F131">
        <f t="shared" si="8"/>
        <v>72.750000000000014</v>
      </c>
      <c r="H131" s="5"/>
    </row>
    <row r="132" spans="1:8">
      <c r="A132">
        <f t="shared" si="6"/>
        <v>201.55</v>
      </c>
      <c r="B132" s="4">
        <v>79.25</v>
      </c>
      <c r="D132" s="6">
        <v>0.53</v>
      </c>
      <c r="E132">
        <f t="shared" si="7"/>
        <v>6.53</v>
      </c>
      <c r="F132">
        <f t="shared" si="8"/>
        <v>79.250000000000014</v>
      </c>
      <c r="H132" s="5"/>
    </row>
    <row r="133" spans="1:8">
      <c r="A133">
        <f t="shared" si="6"/>
        <v>205.85</v>
      </c>
      <c r="B133" s="4">
        <v>83.55</v>
      </c>
      <c r="D133" s="6">
        <v>0.53</v>
      </c>
      <c r="E133">
        <f t="shared" si="7"/>
        <v>6.53</v>
      </c>
      <c r="F133">
        <f t="shared" si="8"/>
        <v>83.55</v>
      </c>
      <c r="H133" s="5"/>
    </row>
    <row r="134" spans="1:8">
      <c r="A134">
        <f t="shared" si="6"/>
        <v>209.85</v>
      </c>
      <c r="B134" s="4">
        <v>87.55</v>
      </c>
      <c r="D134" s="6">
        <v>0.53</v>
      </c>
      <c r="E134">
        <f t="shared" si="7"/>
        <v>6.53</v>
      </c>
      <c r="F134">
        <f t="shared" si="8"/>
        <v>87.55</v>
      </c>
    </row>
    <row r="135" spans="1:8">
      <c r="A135">
        <f t="shared" si="6"/>
        <v>216.05</v>
      </c>
      <c r="B135" s="4">
        <v>93.75</v>
      </c>
      <c r="D135" s="6">
        <v>0.53</v>
      </c>
      <c r="E135">
        <f t="shared" si="7"/>
        <v>6.53</v>
      </c>
      <c r="F135">
        <f t="shared" si="8"/>
        <v>93.750000000000014</v>
      </c>
    </row>
    <row r="136" spans="1:8">
      <c r="A136">
        <f t="shared" si="6"/>
        <v>232.85000000000002</v>
      </c>
      <c r="B136" s="4">
        <v>110.55000000000001</v>
      </c>
      <c r="C136" s="4"/>
      <c r="D136" s="6">
        <v>0.53</v>
      </c>
      <c r="E136">
        <f t="shared" si="7"/>
        <v>6.53</v>
      </c>
      <c r="F136">
        <f t="shared" si="8"/>
        <v>110.55000000000003</v>
      </c>
    </row>
    <row r="137" spans="1:8">
      <c r="A137">
        <f t="shared" si="6"/>
        <v>235.45</v>
      </c>
      <c r="B137" s="4">
        <v>113.15</v>
      </c>
      <c r="C137" s="4"/>
      <c r="D137" s="6">
        <v>0.53</v>
      </c>
      <c r="E137">
        <f t="shared" si="7"/>
        <v>6.53</v>
      </c>
      <c r="F137">
        <f t="shared" si="8"/>
        <v>113.14999999999999</v>
      </c>
    </row>
    <row r="138" spans="1:8">
      <c r="A138">
        <f t="shared" si="6"/>
        <v>237.64999999999998</v>
      </c>
      <c r="B138" s="4">
        <v>115.35</v>
      </c>
      <c r="C138" s="4"/>
      <c r="D138" s="6">
        <v>0.53</v>
      </c>
      <c r="E138">
        <f t="shared" si="7"/>
        <v>6.53</v>
      </c>
      <c r="F138">
        <f t="shared" si="8"/>
        <v>115.34999999999998</v>
      </c>
    </row>
    <row r="139" spans="1:8">
      <c r="A139">
        <f t="shared" si="6"/>
        <v>239.64999999999998</v>
      </c>
      <c r="B139" s="4">
        <v>117.35</v>
      </c>
      <c r="C139" s="4"/>
      <c r="D139" s="6">
        <v>0.53</v>
      </c>
      <c r="E139">
        <f t="shared" si="7"/>
        <v>6.53</v>
      </c>
      <c r="F139">
        <f t="shared" si="8"/>
        <v>117.34999999999998</v>
      </c>
    </row>
    <row r="140" spans="1:8">
      <c r="A140">
        <f t="shared" si="6"/>
        <v>244.85000000000002</v>
      </c>
      <c r="B140" s="4">
        <v>122.55000000000001</v>
      </c>
      <c r="C140" s="4"/>
      <c r="D140" s="6">
        <v>0.53</v>
      </c>
      <c r="E140">
        <f t="shared" si="7"/>
        <v>6.53</v>
      </c>
      <c r="F140">
        <f t="shared" si="8"/>
        <v>122.55000000000003</v>
      </c>
    </row>
    <row r="141" spans="1:8">
      <c r="A141">
        <f t="shared" si="6"/>
        <v>261.64999999999998</v>
      </c>
      <c r="B141" s="4">
        <v>139.35</v>
      </c>
      <c r="C141" s="4"/>
      <c r="D141" s="6">
        <v>0.53</v>
      </c>
      <c r="E141">
        <f t="shared" si="7"/>
        <v>6.53</v>
      </c>
      <c r="F141">
        <f t="shared" si="8"/>
        <v>139.34999999999997</v>
      </c>
    </row>
    <row r="142" spans="1:8">
      <c r="A142">
        <f t="shared" si="6"/>
        <v>266.64999999999998</v>
      </c>
      <c r="B142" s="4">
        <v>144.35</v>
      </c>
      <c r="C142" s="4"/>
      <c r="D142" s="6">
        <v>0.53</v>
      </c>
      <c r="E142">
        <f t="shared" si="7"/>
        <v>6.53</v>
      </c>
      <c r="F142">
        <f t="shared" si="8"/>
        <v>144.34999999999997</v>
      </c>
    </row>
    <row r="143" spans="1:8">
      <c r="A143">
        <f t="shared" si="6"/>
        <v>268.05</v>
      </c>
      <c r="B143" s="4">
        <v>145.75</v>
      </c>
      <c r="C143" s="4"/>
      <c r="D143" s="6">
        <v>0.53</v>
      </c>
      <c r="E143">
        <f t="shared" si="7"/>
        <v>6.53</v>
      </c>
      <c r="F143">
        <f t="shared" si="8"/>
        <v>145.75</v>
      </c>
    </row>
    <row r="144" spans="1:8">
      <c r="A144">
        <f t="shared" si="6"/>
        <v>270.25</v>
      </c>
      <c r="B144" s="4">
        <v>147.94999999999999</v>
      </c>
      <c r="C144" s="4"/>
      <c r="D144" s="6">
        <v>0.53</v>
      </c>
      <c r="E144">
        <f t="shared" si="7"/>
        <v>6.53</v>
      </c>
      <c r="F144">
        <f t="shared" si="8"/>
        <v>147.94999999999999</v>
      </c>
    </row>
    <row r="145" spans="1:6">
      <c r="A145">
        <f t="shared" si="6"/>
        <v>274.05</v>
      </c>
      <c r="B145" s="4">
        <v>151.75</v>
      </c>
      <c r="D145" s="6">
        <v>0.53</v>
      </c>
      <c r="E145">
        <f t="shared" si="7"/>
        <v>6.53</v>
      </c>
      <c r="F145">
        <f t="shared" si="8"/>
        <v>151.75</v>
      </c>
    </row>
    <row r="146" spans="1:6">
      <c r="A146">
        <f t="shared" si="6"/>
        <v>276.85000000000002</v>
      </c>
      <c r="B146" s="4">
        <v>154.55000000000001</v>
      </c>
      <c r="D146" s="6">
        <v>0.53</v>
      </c>
      <c r="E146">
        <f t="shared" si="7"/>
        <v>6.53</v>
      </c>
      <c r="F146">
        <f t="shared" si="8"/>
        <v>154.55000000000001</v>
      </c>
    </row>
    <row r="147" spans="1:6">
      <c r="A147">
        <f t="shared" si="6"/>
        <v>298.75</v>
      </c>
      <c r="B147" s="4">
        <v>176.45</v>
      </c>
      <c r="D147" s="6">
        <v>0.53</v>
      </c>
      <c r="E147">
        <f t="shared" si="7"/>
        <v>6.53</v>
      </c>
      <c r="F147">
        <f t="shared" si="8"/>
        <v>176.45</v>
      </c>
    </row>
    <row r="148" spans="1:6">
      <c r="A148">
        <f t="shared" si="6"/>
        <v>300.45</v>
      </c>
      <c r="B148" s="4">
        <v>178.15</v>
      </c>
      <c r="D148" s="6">
        <v>0.53</v>
      </c>
      <c r="E148">
        <f t="shared" si="7"/>
        <v>6.53</v>
      </c>
      <c r="F148">
        <f t="shared" si="8"/>
        <v>178.14999999999998</v>
      </c>
    </row>
    <row r="149" spans="1:6">
      <c r="A149">
        <f t="shared" si="6"/>
        <v>310.05</v>
      </c>
      <c r="B149" s="4">
        <v>187.75</v>
      </c>
      <c r="D149" s="6">
        <v>0.53</v>
      </c>
      <c r="E149">
        <f t="shared" si="7"/>
        <v>6.53</v>
      </c>
      <c r="F149">
        <f t="shared" si="8"/>
        <v>187.75</v>
      </c>
    </row>
    <row r="150" spans="1:6">
      <c r="A150">
        <f t="shared" si="6"/>
        <v>314.05</v>
      </c>
      <c r="B150" s="4">
        <v>191.75</v>
      </c>
      <c r="D150" s="6">
        <v>0.53</v>
      </c>
      <c r="E150">
        <f t="shared" si="7"/>
        <v>6.53</v>
      </c>
      <c r="F150">
        <f t="shared" si="8"/>
        <v>191.75</v>
      </c>
    </row>
    <row r="151" spans="1:6">
      <c r="A151">
        <f t="shared" si="6"/>
        <v>334.05</v>
      </c>
      <c r="B151" s="4">
        <v>211.75</v>
      </c>
      <c r="D151" s="6">
        <v>0.53</v>
      </c>
      <c r="E151">
        <f t="shared" si="7"/>
        <v>6.53</v>
      </c>
      <c r="F151">
        <f t="shared" si="8"/>
        <v>211.75</v>
      </c>
    </row>
    <row r="152" spans="1:6">
      <c r="A152">
        <f t="shared" si="6"/>
        <v>344.05</v>
      </c>
      <c r="B152" s="4">
        <v>221.75</v>
      </c>
      <c r="D152" s="6">
        <v>0.53</v>
      </c>
      <c r="E152">
        <f t="shared" si="7"/>
        <v>6.53</v>
      </c>
      <c r="F152">
        <f t="shared" si="8"/>
        <v>221.75</v>
      </c>
    </row>
    <row r="153" spans="1:6">
      <c r="A153">
        <f t="shared" si="6"/>
        <v>354.05</v>
      </c>
      <c r="B153" s="4">
        <v>231.75</v>
      </c>
      <c r="D153" s="6">
        <v>0.53</v>
      </c>
      <c r="E153">
        <f t="shared" si="7"/>
        <v>6.53</v>
      </c>
      <c r="F153">
        <f t="shared" si="8"/>
        <v>231.75</v>
      </c>
    </row>
    <row r="154" spans="1:6">
      <c r="B154" s="4"/>
    </row>
    <row r="155" spans="1:6">
      <c r="B155" s="4"/>
    </row>
    <row r="156" spans="1:6">
      <c r="B156" s="4"/>
    </row>
    <row r="157" spans="1:6">
      <c r="B157" s="4"/>
      <c r="C157" s="1"/>
      <c r="D157" s="1"/>
      <c r="E157" s="1"/>
      <c r="F157" s="1"/>
    </row>
    <row r="158" spans="1:6">
      <c r="B158" s="4"/>
    </row>
    <row r="159" spans="1:6">
      <c r="B159" s="4"/>
    </row>
    <row r="160" spans="1:6">
      <c r="B160" s="4"/>
    </row>
    <row r="161" spans="2:2">
      <c r="B161" s="4"/>
    </row>
    <row r="162" spans="2:2">
      <c r="B162" s="4"/>
    </row>
    <row r="163" spans="2:2">
      <c r="B163" s="4"/>
    </row>
    <row r="164" spans="2:2">
      <c r="B164" s="4"/>
    </row>
    <row r="165" spans="2:2">
      <c r="B165" s="4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 Yong Yang</dc:creator>
  <cp:lastModifiedBy>Jeong Yong Yang</cp:lastModifiedBy>
  <dcterms:created xsi:type="dcterms:W3CDTF">2025-12-01T19:55:27Z</dcterms:created>
  <dcterms:modified xsi:type="dcterms:W3CDTF">2026-06-10T14:40:42Z</dcterms:modified>
</cp:coreProperties>
</file>