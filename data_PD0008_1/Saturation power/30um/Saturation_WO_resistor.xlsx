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30um/"/>
    </mc:Choice>
  </mc:AlternateContent>
  <xr:revisionPtr revIDLastSave="1050" documentId="8_{8E361EE7-E046-4F36-A92B-B132DE58ACDB}" xr6:coauthVersionLast="47" xr6:coauthVersionMax="47" xr10:uidLastSave="{C0DE705D-FC65-419B-AA04-916071B32EDE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6" i="1"/>
  <c r="E37" i="1"/>
  <c r="E38" i="1"/>
  <c r="E39" i="1"/>
  <c r="E40" i="1"/>
  <c r="E41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5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8" i="1"/>
</calcChain>
</file>

<file path=xl/sharedStrings.xml><?xml version="1.0" encoding="utf-8"?>
<sst xmlns="http://schemas.openxmlformats.org/spreadsheetml/2006/main" count="35" uniqueCount="15">
  <si>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</si>
  <si>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</si>
  <si>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</si>
  <si>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</si>
  <si>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</si>
  <si>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Atten power (dBm)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</si>
  <si>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</si>
  <si>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</si>
  <si>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</si>
  <si>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25 um</t>
    <phoneticPr fontId="1" type="noConversion"/>
  </si>
  <si>
    <t>2nd try</t>
    <phoneticPr fontId="1" type="noConversion"/>
  </si>
  <si>
    <t>Dark current high (180 uA)</t>
    <phoneticPr fontId="1" type="noConversion"/>
  </si>
  <si>
    <t>30 um</t>
    <phoneticPr fontId="1" type="noConversion"/>
  </si>
  <si>
    <t>WO resistor</t>
    <phoneticPr fontId="1" type="noConversion"/>
  </si>
  <si>
    <t>Ideal fitting curve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</si>
</sst>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Sheet1!$B$8:$B$34</c:f>
              <c:numCache>
                <c:formatCode>General</c:formatCode>
                <c:ptCount val="27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Sheet1!$E$8:$E$34</c:f>
              <c:numCache>
                <c:formatCode>General</c:formatCode>
                <c:ptCount val="27"/>
                <c:pt idx="0">
                  <c:v>-31.08</c:v>
                </c:pt>
                <c:pt idx="1">
                  <c:v>-22.21</c:v>
                </c:pt>
                <c:pt idx="2">
                  <c:v>-19.93</c:v>
                </c:pt>
                <c:pt idx="3">
                  <c:v>-8.43</c:v>
                </c:pt>
                <c:pt idx="4">
                  <c:v>-3.26</c:v>
                </c:pt>
                <c:pt idx="5">
                  <c:v>1.6</c:v>
                </c:pt>
                <c:pt idx="6">
                  <c:v>4.12</c:v>
                </c:pt>
                <c:pt idx="7">
                  <c:v>5.75</c:v>
                </c:pt>
                <c:pt idx="8">
                  <c:v>6.42</c:v>
                </c:pt>
                <c:pt idx="9">
                  <c:v>1.07</c:v>
                </c:pt>
                <c:pt idx="10">
                  <c:v>1.07</c:v>
                </c:pt>
                <c:pt idx="11">
                  <c:v>1.07</c:v>
                </c:pt>
                <c:pt idx="12">
                  <c:v>1.07</c:v>
                </c:pt>
                <c:pt idx="13">
                  <c:v>1.07</c:v>
                </c:pt>
                <c:pt idx="14">
                  <c:v>1.07</c:v>
                </c:pt>
                <c:pt idx="15">
                  <c:v>1.07</c:v>
                </c:pt>
                <c:pt idx="16">
                  <c:v>1.07</c:v>
                </c:pt>
                <c:pt idx="17">
                  <c:v>1.07</c:v>
                </c:pt>
                <c:pt idx="18">
                  <c:v>1.07</c:v>
                </c:pt>
                <c:pt idx="19">
                  <c:v>1.07</c:v>
                </c:pt>
                <c:pt idx="20">
                  <c:v>1.07</c:v>
                </c:pt>
                <c:pt idx="21">
                  <c:v>1.07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Sheet1!$B$52:$B$78</c:f>
              <c:numCache>
                <c:formatCode>General</c:formatCode>
                <c:ptCount val="27"/>
                <c:pt idx="0">
                  <c:v>0.39</c:v>
                </c:pt>
                <c:pt idx="1">
                  <c:v>0.8</c:v>
                </c:pt>
                <c:pt idx="2">
                  <c:v>1.23</c:v>
                </c:pt>
                <c:pt idx="3">
                  <c:v>4.3</c:v>
                </c:pt>
                <c:pt idx="4">
                  <c:v>7.23</c:v>
                </c:pt>
                <c:pt idx="5">
                  <c:v>12.1</c:v>
                </c:pt>
                <c:pt idx="6">
                  <c:v>16.2</c:v>
                </c:pt>
                <c:pt idx="7">
                  <c:v>20.2</c:v>
                </c:pt>
                <c:pt idx="8">
                  <c:v>24.5</c:v>
                </c:pt>
                <c:pt idx="9">
                  <c:v>28.2</c:v>
                </c:pt>
                <c:pt idx="10">
                  <c:v>32</c:v>
                </c:pt>
                <c:pt idx="11">
                  <c:v>36.36</c:v>
                </c:pt>
                <c:pt idx="12">
                  <c:v>40.5</c:v>
                </c:pt>
                <c:pt idx="13">
                  <c:v>44.8</c:v>
                </c:pt>
                <c:pt idx="14">
                  <c:v>48.02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Sheet1!$E$52:$E$78</c:f>
              <c:numCache>
                <c:formatCode>General</c:formatCode>
                <c:ptCount val="27"/>
                <c:pt idx="1">
                  <c:v>-21.909999999999997</c:v>
                </c:pt>
                <c:pt idx="2">
                  <c:v>-18.45</c:v>
                </c:pt>
                <c:pt idx="3">
                  <c:v>-6.38</c:v>
                </c:pt>
                <c:pt idx="4">
                  <c:v>-1.67</c:v>
                </c:pt>
                <c:pt idx="5">
                  <c:v>2.92</c:v>
                </c:pt>
                <c:pt idx="6">
                  <c:v>5.38</c:v>
                </c:pt>
                <c:pt idx="7">
                  <c:v>7.22</c:v>
                </c:pt>
                <c:pt idx="8">
                  <c:v>9.02</c:v>
                </c:pt>
                <c:pt idx="9">
                  <c:v>10.220000000000001</c:v>
                </c:pt>
                <c:pt idx="10">
                  <c:v>11.32</c:v>
                </c:pt>
                <c:pt idx="11">
                  <c:v>12.42</c:v>
                </c:pt>
                <c:pt idx="12">
                  <c:v>13.22</c:v>
                </c:pt>
                <c:pt idx="13">
                  <c:v>14.02</c:v>
                </c:pt>
                <c:pt idx="14">
                  <c:v>14.59</c:v>
                </c:pt>
                <c:pt idx="15">
                  <c:v>15.22</c:v>
                </c:pt>
                <c:pt idx="16">
                  <c:v>15.59</c:v>
                </c:pt>
                <c:pt idx="17">
                  <c:v>15.79</c:v>
                </c:pt>
                <c:pt idx="18">
                  <c:v>15.92</c:v>
                </c:pt>
                <c:pt idx="19">
                  <c:v>0.42</c:v>
                </c:pt>
                <c:pt idx="20">
                  <c:v>0.42</c:v>
                </c:pt>
                <c:pt idx="21">
                  <c:v>0.42</c:v>
                </c:pt>
                <c:pt idx="22">
                  <c:v>0.42</c:v>
                </c:pt>
                <c:pt idx="23">
                  <c:v>0.42</c:v>
                </c:pt>
                <c:pt idx="24">
                  <c:v>0.42</c:v>
                </c:pt>
                <c:pt idx="25">
                  <c:v>0.42</c:v>
                </c:pt>
                <c:pt idx="26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CB-41A1-B73C-EDEAACE6F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Sheet1!$B$96:$B$122</c:f>
              <c:numCache>
                <c:formatCode>General</c:formatCode>
                <c:ptCount val="27"/>
                <c:pt idx="0">
                  <c:v>0.39</c:v>
                </c:pt>
                <c:pt idx="1">
                  <c:v>0.8</c:v>
                </c:pt>
                <c:pt idx="2">
                  <c:v>1.23</c:v>
                </c:pt>
                <c:pt idx="3">
                  <c:v>4.3</c:v>
                </c:pt>
                <c:pt idx="4">
                  <c:v>7.23</c:v>
                </c:pt>
                <c:pt idx="5">
                  <c:v>12.1</c:v>
                </c:pt>
                <c:pt idx="6">
                  <c:v>16.2</c:v>
                </c:pt>
                <c:pt idx="7">
                  <c:v>20.2</c:v>
                </c:pt>
                <c:pt idx="8">
                  <c:v>24.5</c:v>
                </c:pt>
                <c:pt idx="9">
                  <c:v>28.2</c:v>
                </c:pt>
                <c:pt idx="10">
                  <c:v>32</c:v>
                </c:pt>
                <c:pt idx="11">
                  <c:v>36.36</c:v>
                </c:pt>
                <c:pt idx="12">
                  <c:v>40.5</c:v>
                </c:pt>
                <c:pt idx="13">
                  <c:v>44.8</c:v>
                </c:pt>
                <c:pt idx="14">
                  <c:v>48.02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Sheet1!$E$96:$E$122</c:f>
              <c:numCache>
                <c:formatCode>General</c:formatCode>
                <c:ptCount val="27"/>
                <c:pt idx="1">
                  <c:v>-24.46</c:v>
                </c:pt>
                <c:pt idx="2">
                  <c:v>-19.61</c:v>
                </c:pt>
                <c:pt idx="3">
                  <c:v>-7.38</c:v>
                </c:pt>
                <c:pt idx="4">
                  <c:v>-2.6500000000000004</c:v>
                </c:pt>
                <c:pt idx="5">
                  <c:v>2.02</c:v>
                </c:pt>
                <c:pt idx="6">
                  <c:v>4.55</c:v>
                </c:pt>
                <c:pt idx="7">
                  <c:v>6.14</c:v>
                </c:pt>
                <c:pt idx="8">
                  <c:v>7.71</c:v>
                </c:pt>
                <c:pt idx="9">
                  <c:v>8.8500000000000014</c:v>
                </c:pt>
                <c:pt idx="10">
                  <c:v>9.8800000000000008</c:v>
                </c:pt>
                <c:pt idx="11">
                  <c:v>10.850000000000001</c:v>
                </c:pt>
                <c:pt idx="12">
                  <c:v>11.75</c:v>
                </c:pt>
                <c:pt idx="13">
                  <c:v>12.5</c:v>
                </c:pt>
                <c:pt idx="14">
                  <c:v>13.05</c:v>
                </c:pt>
                <c:pt idx="15">
                  <c:v>13.57</c:v>
                </c:pt>
                <c:pt idx="16">
                  <c:v>14.05</c:v>
                </c:pt>
                <c:pt idx="17">
                  <c:v>14.55</c:v>
                </c:pt>
                <c:pt idx="18">
                  <c:v>14.690000000000001</c:v>
                </c:pt>
                <c:pt idx="19">
                  <c:v>14.72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0.55000000000000004</c:v>
                </c:pt>
                <c:pt idx="24">
                  <c:v>0.55000000000000004</c:v>
                </c:pt>
                <c:pt idx="25">
                  <c:v>0.55000000000000004</c:v>
                </c:pt>
                <c:pt idx="26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01-4CC4-BEF2-A0D9C1907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555809</xdr:colOff>
      <xdr:row>5</xdr:row>
      <xdr:rowOff>8965</xdr:rowOff>
    </xdr:from>
    <xdr:to>
      <xdr:col>15</xdr:col>
      <xdr:colOff>600635</xdr:colOff>
      <xdr:row>26</xdr:row>
      <xdr:rowOff>143435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466165</xdr:colOff>
      <xdr:row>49</xdr:row>
      <xdr:rowOff>62752</xdr:rowOff>
    </xdr:from>
    <xdr:to>
      <xdr:col>15</xdr:col>
      <xdr:colOff>484095</xdr:colOff>
      <xdr:row>66</xdr:row>
      <xdr:rowOff>206187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5A72F1D-5B15-46AF-966B-B831B166B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97</xdr:row>
      <xdr:rowOff>0</xdr:rowOff>
    </xdr:from>
    <xdr:to>
      <xdr:col>15</xdr:col>
      <xdr:colOff>17930</xdr:colOff>
      <xdr:row>114</xdr:row>
      <xdr:rowOff>143435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6FE7EE4-4E0B-41ED-BE83-8ADF59A19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85" zoomScaleNormal="85" workbookViewId="0">
      <selection activeCell="C17" sqref="C17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13" bestFit="1" customWidth="1"/>
    <col min="4" max="4" width="27.69921875" bestFit="1" customWidth="1"/>
    <col min="5" max="5" width="14.69921875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12</v>
      </c>
      <c r="C1" s="1" t="s">
        <v>13</v>
      </c>
      <c r="D1" s="1"/>
    </row>
    <row r="2" spans="1:11" x14ac:dyDescent="0.4">
      <c r="A2" s="2" t="s">
        <v>8</v>
      </c>
      <c r="B2" s="3"/>
    </row>
    <row r="4" spans="1:11" x14ac:dyDescent="0.4">
      <c r="B4" s="1" t="s">
        <v>4</v>
      </c>
      <c r="C4">
        <v>20</v>
      </c>
    </row>
    <row r="5" spans="1:11" x14ac:dyDescent="0.4">
      <c r="B5" s="1" t="s">
        <v>1</v>
      </c>
      <c r="C5">
        <v>-5</v>
      </c>
    </row>
    <row r="7" spans="1:11" x14ac:dyDescent="0.4">
      <c r="B7" s="1" t="s">
        <v>6</v>
      </c>
      <c r="C7" s="1" t="s">
        <v>2</v>
      </c>
      <c r="D7" s="1" t="s">
        <v>7</v>
      </c>
      <c r="E7" s="1" t="s">
        <v>3</v>
      </c>
      <c r="F7" s="1" t="s">
        <v>14</v>
      </c>
      <c r="G7" s="1"/>
      <c r="H7" s="1"/>
      <c r="I7" s="1"/>
      <c r="K7" s="1"/>
    </row>
    <row r="8" spans="1:11" x14ac:dyDescent="0.4">
      <c r="B8">
        <v>0.31</v>
      </c>
      <c r="C8">
        <v>-32.15</v>
      </c>
      <c r="D8" s="6">
        <v>1.07</v>
      </c>
      <c r="E8">
        <f>C8+D8</f>
        <v>-31.08</v>
      </c>
      <c r="H8" s="5"/>
      <c r="J8" s="4"/>
    </row>
    <row r="9" spans="1:11" x14ac:dyDescent="0.4">
      <c r="B9">
        <v>0.87</v>
      </c>
      <c r="C9">
        <v>-23.28</v>
      </c>
      <c r="D9" s="6">
        <v>1.07</v>
      </c>
      <c r="E9">
        <f t="shared" ref="E9:E26" si="0">C9+D9</f>
        <v>-22.21</v>
      </c>
      <c r="H9" s="5"/>
      <c r="J9" s="4"/>
    </row>
    <row r="10" spans="1:11" x14ac:dyDescent="0.4">
      <c r="B10" s="4">
        <v>1.1299999999999999</v>
      </c>
      <c r="C10">
        <v>-21</v>
      </c>
      <c r="D10" s="6">
        <v>1.07</v>
      </c>
      <c r="E10">
        <f t="shared" si="0"/>
        <v>-19.93</v>
      </c>
      <c r="H10" s="5"/>
      <c r="J10" s="4"/>
    </row>
    <row r="11" spans="1:11" x14ac:dyDescent="0.4">
      <c r="B11" s="4">
        <v>4.03</v>
      </c>
      <c r="C11">
        <v>-9.5</v>
      </c>
      <c r="D11" s="6">
        <v>1.07</v>
      </c>
      <c r="E11">
        <f t="shared" si="0"/>
        <v>-8.43</v>
      </c>
      <c r="H11" s="5"/>
      <c r="J11" s="4"/>
    </row>
    <row r="12" spans="1:11" x14ac:dyDescent="0.4">
      <c r="B12" s="4">
        <v>7.15</v>
      </c>
      <c r="C12">
        <v>-4.33</v>
      </c>
      <c r="D12" s="6">
        <v>1.07</v>
      </c>
      <c r="E12">
        <f t="shared" si="0"/>
        <v>-3.26</v>
      </c>
      <c r="H12" s="5"/>
      <c r="J12" s="4"/>
    </row>
    <row r="13" spans="1:11" x14ac:dyDescent="0.4">
      <c r="B13" s="4">
        <v>12.2</v>
      </c>
      <c r="C13">
        <v>0.53</v>
      </c>
      <c r="D13" s="6">
        <v>1.07</v>
      </c>
      <c r="E13">
        <f t="shared" si="0"/>
        <v>1.6</v>
      </c>
      <c r="H13" s="5"/>
      <c r="J13" s="4"/>
    </row>
    <row r="14" spans="1:11" x14ac:dyDescent="0.4">
      <c r="B14" s="4">
        <v>16.3</v>
      </c>
      <c r="C14">
        <v>3.05</v>
      </c>
      <c r="D14" s="6">
        <v>1.07</v>
      </c>
      <c r="E14">
        <f t="shared" si="0"/>
        <v>4.12</v>
      </c>
      <c r="H14" s="5"/>
      <c r="J14" s="4"/>
    </row>
    <row r="15" spans="1:11" x14ac:dyDescent="0.4">
      <c r="B15" s="4">
        <v>20.3</v>
      </c>
      <c r="C15">
        <v>4.68</v>
      </c>
      <c r="D15" s="6">
        <v>1.07</v>
      </c>
      <c r="E15">
        <f t="shared" si="0"/>
        <v>5.75</v>
      </c>
      <c r="H15" s="5"/>
      <c r="J15" s="4"/>
    </row>
    <row r="16" spans="1:11" x14ac:dyDescent="0.4">
      <c r="B16" s="4">
        <v>24.1</v>
      </c>
      <c r="C16">
        <v>5.35</v>
      </c>
      <c r="D16" s="6">
        <v>1.07</v>
      </c>
      <c r="E16">
        <f t="shared" si="0"/>
        <v>6.42</v>
      </c>
      <c r="H16" s="5"/>
      <c r="J16" s="4"/>
    </row>
    <row r="17" spans="1:10" x14ac:dyDescent="0.4">
      <c r="B17" s="4">
        <v>28.4</v>
      </c>
      <c r="D17" s="6">
        <v>1.07</v>
      </c>
      <c r="E17">
        <f t="shared" si="0"/>
        <v>1.07</v>
      </c>
      <c r="H17" s="5"/>
      <c r="J17" s="4"/>
    </row>
    <row r="18" spans="1:10" x14ac:dyDescent="0.4">
      <c r="B18" s="4">
        <v>32.6</v>
      </c>
      <c r="D18" s="6">
        <v>1.07</v>
      </c>
      <c r="E18">
        <f t="shared" si="0"/>
        <v>1.07</v>
      </c>
      <c r="H18" s="5"/>
      <c r="J18" s="4"/>
    </row>
    <row r="19" spans="1:10" x14ac:dyDescent="0.4">
      <c r="B19" s="4">
        <v>36.4</v>
      </c>
      <c r="D19" s="6">
        <v>1.07</v>
      </c>
      <c r="E19">
        <f t="shared" si="0"/>
        <v>1.07</v>
      </c>
      <c r="H19" s="5"/>
      <c r="J19" s="4"/>
    </row>
    <row r="20" spans="1:10" x14ac:dyDescent="0.4">
      <c r="B20" s="4">
        <v>40.5</v>
      </c>
      <c r="D20" s="6">
        <v>1.07</v>
      </c>
      <c r="E20">
        <f t="shared" si="0"/>
        <v>1.07</v>
      </c>
      <c r="H20" s="5"/>
      <c r="J20" s="4"/>
    </row>
    <row r="21" spans="1:10" x14ac:dyDescent="0.4">
      <c r="B21" s="4">
        <v>45.1</v>
      </c>
      <c r="D21" s="6">
        <v>1.07</v>
      </c>
      <c r="E21">
        <f t="shared" si="0"/>
        <v>1.07</v>
      </c>
      <c r="H21" s="5"/>
      <c r="J21" s="4"/>
    </row>
    <row r="22" spans="1:10" x14ac:dyDescent="0.4">
      <c r="B22" s="4">
        <v>48.8</v>
      </c>
      <c r="D22" s="6">
        <v>1.07</v>
      </c>
      <c r="E22">
        <f t="shared" si="0"/>
        <v>1.07</v>
      </c>
      <c r="H22" s="5"/>
      <c r="J22" s="4"/>
    </row>
    <row r="23" spans="1:10" x14ac:dyDescent="0.4">
      <c r="B23" s="4">
        <v>53</v>
      </c>
      <c r="D23" s="6">
        <v>1.07</v>
      </c>
      <c r="E23">
        <f t="shared" si="0"/>
        <v>1.07</v>
      </c>
      <c r="H23" s="5"/>
      <c r="J23" s="4"/>
    </row>
    <row r="24" spans="1:10" x14ac:dyDescent="0.4">
      <c r="B24" s="4">
        <v>57.2</v>
      </c>
      <c r="D24" s="6">
        <v>1.07</v>
      </c>
      <c r="E24">
        <f t="shared" si="0"/>
        <v>1.07</v>
      </c>
      <c r="H24" s="5"/>
      <c r="J24" s="4"/>
    </row>
    <row r="25" spans="1:10" x14ac:dyDescent="0.4">
      <c r="B25" s="4">
        <v>65.5</v>
      </c>
      <c r="D25" s="6">
        <v>1.07</v>
      </c>
      <c r="E25">
        <f t="shared" si="0"/>
        <v>1.07</v>
      </c>
      <c r="H25" s="5"/>
      <c r="J25" s="4"/>
    </row>
    <row r="26" spans="1:10" x14ac:dyDescent="0.4">
      <c r="A26" s="2"/>
      <c r="B26" s="4">
        <v>68.400000000000006</v>
      </c>
      <c r="D26" s="6">
        <v>1.07</v>
      </c>
      <c r="E26">
        <f t="shared" si="0"/>
        <v>1.07</v>
      </c>
      <c r="H26" s="5"/>
      <c r="J26" s="4"/>
    </row>
    <row r="27" spans="1:10" x14ac:dyDescent="0.4">
      <c r="A27" s="2"/>
      <c r="B27" s="4">
        <v>73.099999999999994</v>
      </c>
      <c r="D27" s="6">
        <v>1.07</v>
      </c>
      <c r="E27">
        <f t="shared" ref="E27:E41" si="1">C27+D27</f>
        <v>1.07</v>
      </c>
      <c r="H27" s="5"/>
      <c r="J27" s="4"/>
    </row>
    <row r="28" spans="1:10" x14ac:dyDescent="0.4">
      <c r="B28" s="4">
        <v>76.400000000000006</v>
      </c>
      <c r="D28" s="6">
        <v>1.07</v>
      </c>
      <c r="E28">
        <f t="shared" si="1"/>
        <v>1.07</v>
      </c>
      <c r="H28" s="5"/>
      <c r="J28" s="4"/>
    </row>
    <row r="29" spans="1:10" x14ac:dyDescent="0.4">
      <c r="B29" s="4">
        <v>80.239999999999995</v>
      </c>
      <c r="D29" s="6">
        <v>1.07</v>
      </c>
      <c r="E29">
        <f t="shared" si="1"/>
        <v>1.07</v>
      </c>
      <c r="H29" s="5"/>
      <c r="J29" s="4"/>
    </row>
    <row r="30" spans="1:10" x14ac:dyDescent="0.4">
      <c r="B30" s="4">
        <v>84</v>
      </c>
      <c r="D30" s="6">
        <v>1.07</v>
      </c>
      <c r="E30">
        <f t="shared" si="1"/>
        <v>1.07</v>
      </c>
      <c r="H30" s="5"/>
      <c r="J30" s="4"/>
    </row>
    <row r="31" spans="1:10" x14ac:dyDescent="0.4">
      <c r="B31" s="4">
        <v>88.3</v>
      </c>
      <c r="C31" s="4"/>
      <c r="D31" s="6">
        <v>1.07</v>
      </c>
      <c r="E31">
        <f t="shared" si="1"/>
        <v>1.07</v>
      </c>
      <c r="F31" s="1"/>
      <c r="H31" s="5"/>
      <c r="J31" s="4"/>
    </row>
    <row r="32" spans="1:10" x14ac:dyDescent="0.4">
      <c r="B32" s="4">
        <v>93.7</v>
      </c>
      <c r="C32" s="4"/>
      <c r="D32" s="6">
        <v>1.07</v>
      </c>
      <c r="E32">
        <f t="shared" si="1"/>
        <v>1.07</v>
      </c>
      <c r="H32" s="5"/>
      <c r="J32" s="4"/>
    </row>
    <row r="33" spans="1:10" x14ac:dyDescent="0.4">
      <c r="B33" s="4">
        <v>97.3</v>
      </c>
      <c r="C33" s="4"/>
      <c r="D33" s="6">
        <v>1.07</v>
      </c>
      <c r="E33">
        <f t="shared" si="1"/>
        <v>1.07</v>
      </c>
      <c r="H33" s="5"/>
      <c r="J33" s="4"/>
    </row>
    <row r="34" spans="1:10" x14ac:dyDescent="0.4">
      <c r="B34" s="4">
        <v>101.6</v>
      </c>
      <c r="C34" s="4"/>
      <c r="D34" s="6">
        <v>1.07</v>
      </c>
      <c r="E34">
        <f t="shared" si="1"/>
        <v>1.07</v>
      </c>
      <c r="H34" s="5"/>
      <c r="J34" s="4"/>
    </row>
    <row r="35" spans="1:10" x14ac:dyDescent="0.4">
      <c r="B35" s="4">
        <v>106</v>
      </c>
      <c r="C35" s="4"/>
      <c r="D35" s="6">
        <v>1.07</v>
      </c>
      <c r="E35">
        <f t="shared" si="1"/>
        <v>1.07</v>
      </c>
      <c r="H35" s="5"/>
      <c r="J35" s="4"/>
    </row>
    <row r="36" spans="1:10" x14ac:dyDescent="0.4">
      <c r="B36" s="4">
        <v>109</v>
      </c>
      <c r="C36" s="4"/>
      <c r="D36" s="6">
        <v>1.07</v>
      </c>
      <c r="E36">
        <f t="shared" si="1"/>
        <v>1.07</v>
      </c>
      <c r="H36" s="5"/>
      <c r="J36" s="4"/>
    </row>
    <row r="37" spans="1:10" x14ac:dyDescent="0.4">
      <c r="B37" s="4">
        <v>116</v>
      </c>
      <c r="C37" s="4"/>
      <c r="D37" s="6">
        <v>1.07</v>
      </c>
      <c r="E37">
        <f t="shared" si="1"/>
        <v>1.07</v>
      </c>
      <c r="H37" s="5"/>
      <c r="J37" s="4"/>
    </row>
    <row r="38" spans="1:10" x14ac:dyDescent="0.4">
      <c r="B38" s="4">
        <v>119</v>
      </c>
      <c r="C38" s="4"/>
      <c r="D38" s="6">
        <v>1.07</v>
      </c>
      <c r="E38">
        <f t="shared" si="1"/>
        <v>1.07</v>
      </c>
      <c r="H38" s="5"/>
      <c r="J38" s="4"/>
    </row>
    <row r="39" spans="1:10" x14ac:dyDescent="0.4">
      <c r="B39" s="4">
        <v>124</v>
      </c>
      <c r="D39" s="6">
        <v>1.07</v>
      </c>
      <c r="E39">
        <f t="shared" si="1"/>
        <v>1.07</v>
      </c>
      <c r="H39" s="5"/>
      <c r="J39" s="4"/>
    </row>
    <row r="40" spans="1:10" x14ac:dyDescent="0.4">
      <c r="B40" s="4">
        <v>129</v>
      </c>
      <c r="D40" s="6">
        <v>1.07</v>
      </c>
      <c r="E40">
        <f t="shared" si="1"/>
        <v>1.07</v>
      </c>
      <c r="H40" s="5"/>
      <c r="J40" s="4"/>
    </row>
    <row r="41" spans="1:10" x14ac:dyDescent="0.4">
      <c r="B41" s="4">
        <v>134</v>
      </c>
      <c r="D41" s="6">
        <v>1.07</v>
      </c>
      <c r="E41">
        <f t="shared" si="1"/>
        <v>1.07</v>
      </c>
      <c r="H41" s="5"/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 t="s">
        <v>0</v>
      </c>
      <c r="B45" s="3" t="s">
        <v>9</v>
      </c>
      <c r="C45" s="1" t="s">
        <v>10</v>
      </c>
      <c r="D45" s="1" t="s">
        <v>11</v>
      </c>
    </row>
    <row r="46" spans="1:10" x14ac:dyDescent="0.4">
      <c r="A46" s="2" t="s">
        <v>8</v>
      </c>
      <c r="B46" s="3"/>
    </row>
    <row r="48" spans="1:10" x14ac:dyDescent="0.4">
      <c r="B48" s="1" t="s">
        <v>4</v>
      </c>
      <c r="C48">
        <v>8</v>
      </c>
    </row>
    <row r="49" spans="2:8" x14ac:dyDescent="0.4">
      <c r="B49" s="1" t="s">
        <v>1</v>
      </c>
      <c r="C49">
        <v>-3</v>
      </c>
    </row>
    <row r="51" spans="2:8" x14ac:dyDescent="0.4">
      <c r="B51" s="1" t="s">
        <v>6</v>
      </c>
      <c r="C51" s="1" t="s">
        <v>2</v>
      </c>
      <c r="D51" s="1" t="s">
        <v>7</v>
      </c>
      <c r="E51" s="1" t="s">
        <v>3</v>
      </c>
      <c r="F51" s="1" t="s">
        <v>5</v>
      </c>
    </row>
    <row r="52" spans="2:8" x14ac:dyDescent="0.4">
      <c r="B52">
        <v>0.39</v>
      </c>
      <c r="D52" s="6">
        <v>0.42</v>
      </c>
      <c r="G52" s="1"/>
      <c r="H52" s="1"/>
    </row>
    <row r="53" spans="2:8" x14ac:dyDescent="0.4">
      <c r="B53">
        <v>0.8</v>
      </c>
      <c r="C53">
        <v>-22.33</v>
      </c>
      <c r="D53" s="6">
        <v>0.42</v>
      </c>
      <c r="E53">
        <f t="shared" ref="E53:E78" si="2">C53+D53</f>
        <v>-21.909999999999997</v>
      </c>
      <c r="G53">
        <v>-22.33</v>
      </c>
      <c r="H53" s="5">
        <f>G53-12</f>
        <v>-34.33</v>
      </c>
    </row>
    <row r="54" spans="2:8" x14ac:dyDescent="0.4">
      <c r="B54" s="4">
        <v>1.23</v>
      </c>
      <c r="C54">
        <v>-18.87</v>
      </c>
      <c r="D54" s="6">
        <v>0.42</v>
      </c>
      <c r="E54">
        <f t="shared" si="2"/>
        <v>-18.45</v>
      </c>
      <c r="G54">
        <v>-18.87</v>
      </c>
      <c r="H54" s="5">
        <f t="shared" ref="H54:H70" si="3">G54-12</f>
        <v>-30.87</v>
      </c>
    </row>
    <row r="55" spans="2:8" x14ac:dyDescent="0.4">
      <c r="B55" s="4">
        <v>4.3</v>
      </c>
      <c r="C55">
        <v>-6.8</v>
      </c>
      <c r="D55" s="6">
        <v>0.42</v>
      </c>
      <c r="E55">
        <f t="shared" si="2"/>
        <v>-6.38</v>
      </c>
      <c r="G55">
        <v>-6.8</v>
      </c>
      <c r="H55" s="5">
        <f t="shared" si="3"/>
        <v>-18.8</v>
      </c>
    </row>
    <row r="56" spans="2:8" x14ac:dyDescent="0.4">
      <c r="B56" s="4">
        <v>7.23</v>
      </c>
      <c r="C56">
        <v>-2.09</v>
      </c>
      <c r="D56" s="6">
        <v>0.42</v>
      </c>
      <c r="E56">
        <f t="shared" si="2"/>
        <v>-1.67</v>
      </c>
      <c r="G56">
        <v>-2.09</v>
      </c>
      <c r="H56" s="5">
        <f t="shared" si="3"/>
        <v>-14.09</v>
      </c>
    </row>
    <row r="57" spans="2:8" x14ac:dyDescent="0.4">
      <c r="B57" s="4">
        <v>12.1</v>
      </c>
      <c r="C57">
        <v>2.5</v>
      </c>
      <c r="D57" s="6">
        <v>0.42</v>
      </c>
      <c r="E57">
        <f t="shared" si="2"/>
        <v>2.92</v>
      </c>
      <c r="G57">
        <v>2.5</v>
      </c>
      <c r="H57" s="5">
        <f t="shared" si="3"/>
        <v>-9.5</v>
      </c>
    </row>
    <row r="58" spans="2:8" x14ac:dyDescent="0.4">
      <c r="B58" s="4">
        <v>16.2</v>
      </c>
      <c r="C58">
        <v>4.96</v>
      </c>
      <c r="D58" s="6">
        <v>0.42</v>
      </c>
      <c r="E58">
        <f t="shared" si="2"/>
        <v>5.38</v>
      </c>
      <c r="G58">
        <v>4.96</v>
      </c>
      <c r="H58" s="5">
        <f t="shared" si="3"/>
        <v>-7.04</v>
      </c>
    </row>
    <row r="59" spans="2:8" x14ac:dyDescent="0.4">
      <c r="B59" s="4">
        <v>20.2</v>
      </c>
      <c r="C59">
        <v>6.8</v>
      </c>
      <c r="D59" s="6">
        <v>0.42</v>
      </c>
      <c r="E59">
        <f t="shared" si="2"/>
        <v>7.22</v>
      </c>
      <c r="G59">
        <v>6.8</v>
      </c>
      <c r="H59" s="5">
        <f t="shared" si="3"/>
        <v>-5.2</v>
      </c>
    </row>
    <row r="60" spans="2:8" x14ac:dyDescent="0.4">
      <c r="B60" s="4">
        <v>24.5</v>
      </c>
      <c r="C60">
        <v>8.6</v>
      </c>
      <c r="D60" s="6">
        <v>0.42</v>
      </c>
      <c r="E60">
        <f t="shared" si="2"/>
        <v>9.02</v>
      </c>
      <c r="G60">
        <v>8.6</v>
      </c>
      <c r="H60" s="5">
        <f t="shared" si="3"/>
        <v>-3.4000000000000004</v>
      </c>
    </row>
    <row r="61" spans="2:8" x14ac:dyDescent="0.4">
      <c r="B61" s="4">
        <v>28.2</v>
      </c>
      <c r="C61">
        <v>9.8000000000000007</v>
      </c>
      <c r="D61" s="6">
        <v>0.42</v>
      </c>
      <c r="E61">
        <f t="shared" si="2"/>
        <v>10.220000000000001</v>
      </c>
      <c r="G61">
        <v>9.8000000000000007</v>
      </c>
      <c r="H61" s="5">
        <f t="shared" si="3"/>
        <v>-2.1999999999999993</v>
      </c>
    </row>
    <row r="62" spans="2:8" x14ac:dyDescent="0.4">
      <c r="B62" s="4">
        <v>32</v>
      </c>
      <c r="C62">
        <v>10.9</v>
      </c>
      <c r="D62" s="6">
        <v>0.42</v>
      </c>
      <c r="E62">
        <f t="shared" si="2"/>
        <v>11.32</v>
      </c>
      <c r="G62">
        <v>10.9</v>
      </c>
      <c r="H62" s="5">
        <f t="shared" si="3"/>
        <v>-1.0999999999999996</v>
      </c>
    </row>
    <row r="63" spans="2:8" x14ac:dyDescent="0.4">
      <c r="B63" s="4">
        <v>36.36</v>
      </c>
      <c r="C63">
        <v>12</v>
      </c>
      <c r="D63" s="6">
        <v>0.42</v>
      </c>
      <c r="E63">
        <f t="shared" si="2"/>
        <v>12.42</v>
      </c>
      <c r="G63">
        <v>12</v>
      </c>
      <c r="H63" s="5">
        <f t="shared" si="3"/>
        <v>0</v>
      </c>
    </row>
    <row r="64" spans="2:8" x14ac:dyDescent="0.4">
      <c r="B64" s="4">
        <v>40.5</v>
      </c>
      <c r="C64">
        <v>12.8</v>
      </c>
      <c r="D64" s="6">
        <v>0.42</v>
      </c>
      <c r="E64">
        <f t="shared" si="2"/>
        <v>13.22</v>
      </c>
      <c r="G64">
        <v>12.8</v>
      </c>
      <c r="H64" s="5">
        <f t="shared" si="3"/>
        <v>0.80000000000000071</v>
      </c>
    </row>
    <row r="65" spans="1:8" x14ac:dyDescent="0.4">
      <c r="B65" s="4">
        <v>44.8</v>
      </c>
      <c r="C65">
        <v>13.6</v>
      </c>
      <c r="D65" s="6">
        <v>0.42</v>
      </c>
      <c r="E65">
        <f t="shared" si="2"/>
        <v>14.02</v>
      </c>
      <c r="G65">
        <v>13.6</v>
      </c>
      <c r="H65" s="5">
        <f t="shared" si="3"/>
        <v>1.5999999999999996</v>
      </c>
    </row>
    <row r="66" spans="1:8" x14ac:dyDescent="0.4">
      <c r="B66" s="4">
        <v>48.02</v>
      </c>
      <c r="C66">
        <v>14.17</v>
      </c>
      <c r="D66" s="6">
        <v>0.42</v>
      </c>
      <c r="E66">
        <f t="shared" si="2"/>
        <v>14.59</v>
      </c>
      <c r="G66">
        <v>14.17</v>
      </c>
      <c r="H66" s="5">
        <f t="shared" si="3"/>
        <v>2.17</v>
      </c>
    </row>
    <row r="67" spans="1:8" x14ac:dyDescent="0.4">
      <c r="B67" s="4">
        <v>53</v>
      </c>
      <c r="C67">
        <v>14.8</v>
      </c>
      <c r="D67" s="6">
        <v>0.42</v>
      </c>
      <c r="E67">
        <f t="shared" si="2"/>
        <v>15.22</v>
      </c>
      <c r="G67">
        <v>14.8</v>
      </c>
      <c r="H67" s="5">
        <f t="shared" si="3"/>
        <v>2.8000000000000007</v>
      </c>
    </row>
    <row r="68" spans="1:8" x14ac:dyDescent="0.4">
      <c r="B68" s="4">
        <v>57.2</v>
      </c>
      <c r="C68">
        <v>15.17</v>
      </c>
      <c r="D68" s="6">
        <v>0.42</v>
      </c>
      <c r="E68">
        <f t="shared" si="2"/>
        <v>15.59</v>
      </c>
      <c r="G68">
        <v>15.17</v>
      </c>
      <c r="H68" s="5">
        <f t="shared" si="3"/>
        <v>3.17</v>
      </c>
    </row>
    <row r="69" spans="1:8" x14ac:dyDescent="0.4">
      <c r="B69" s="4">
        <v>65.5</v>
      </c>
      <c r="C69">
        <v>15.37</v>
      </c>
      <c r="D69" s="6">
        <v>0.42</v>
      </c>
      <c r="E69">
        <f t="shared" si="2"/>
        <v>15.79</v>
      </c>
      <c r="G69">
        <v>15.37</v>
      </c>
      <c r="H69" s="5">
        <f t="shared" si="3"/>
        <v>3.3699999999999992</v>
      </c>
    </row>
    <row r="70" spans="1:8" x14ac:dyDescent="0.4">
      <c r="A70" s="2"/>
      <c r="B70" s="4">
        <v>68.400000000000006</v>
      </c>
      <c r="C70">
        <v>15.5</v>
      </c>
      <c r="D70" s="6">
        <v>0.42</v>
      </c>
      <c r="E70">
        <f t="shared" si="2"/>
        <v>15.92</v>
      </c>
      <c r="G70">
        <v>15.5</v>
      </c>
      <c r="H70" s="5">
        <f t="shared" si="3"/>
        <v>3.5</v>
      </c>
    </row>
    <row r="71" spans="1:8" x14ac:dyDescent="0.4">
      <c r="A71" s="2"/>
      <c r="B71" s="4">
        <v>73.099999999999994</v>
      </c>
      <c r="D71" s="6">
        <v>0.42</v>
      </c>
      <c r="E71">
        <f t="shared" si="2"/>
        <v>0.42</v>
      </c>
      <c r="H71" s="5"/>
    </row>
    <row r="72" spans="1:8" x14ac:dyDescent="0.4">
      <c r="B72" s="4">
        <v>76.400000000000006</v>
      </c>
      <c r="D72" s="6">
        <v>0.42</v>
      </c>
      <c r="E72">
        <f t="shared" si="2"/>
        <v>0.42</v>
      </c>
      <c r="H72" s="5"/>
    </row>
    <row r="73" spans="1:8" x14ac:dyDescent="0.4">
      <c r="B73" s="4">
        <v>80.239999999999995</v>
      </c>
      <c r="D73" s="6">
        <v>0.42</v>
      </c>
      <c r="E73">
        <f t="shared" si="2"/>
        <v>0.42</v>
      </c>
      <c r="H73" s="5"/>
    </row>
    <row r="74" spans="1:8" x14ac:dyDescent="0.4">
      <c r="B74" s="4">
        <v>84</v>
      </c>
      <c r="D74" s="6">
        <v>0.42</v>
      </c>
      <c r="E74">
        <f t="shared" si="2"/>
        <v>0.42</v>
      </c>
      <c r="H74" s="5"/>
    </row>
    <row r="75" spans="1:8" x14ac:dyDescent="0.4">
      <c r="B75" s="4">
        <v>88.3</v>
      </c>
      <c r="C75" s="4"/>
      <c r="D75" s="6">
        <v>0.42</v>
      </c>
      <c r="E75">
        <f t="shared" si="2"/>
        <v>0.42</v>
      </c>
      <c r="F75" s="1"/>
      <c r="H75" s="5"/>
    </row>
    <row r="76" spans="1:8" x14ac:dyDescent="0.4">
      <c r="B76" s="4">
        <v>93.7</v>
      </c>
      <c r="C76" s="4"/>
      <c r="D76" s="6">
        <v>0.42</v>
      </c>
      <c r="E76">
        <f t="shared" si="2"/>
        <v>0.42</v>
      </c>
      <c r="H76" s="5"/>
    </row>
    <row r="77" spans="1:8" x14ac:dyDescent="0.4">
      <c r="B77" s="4">
        <v>97.3</v>
      </c>
      <c r="C77" s="4"/>
      <c r="D77" s="6">
        <v>0.42</v>
      </c>
      <c r="E77">
        <f t="shared" si="2"/>
        <v>0.42</v>
      </c>
      <c r="H77" s="5"/>
    </row>
    <row r="78" spans="1:8" x14ac:dyDescent="0.4">
      <c r="B78" s="4">
        <v>101.6</v>
      </c>
      <c r="C78" s="4"/>
      <c r="D78" s="6">
        <v>0.42</v>
      </c>
      <c r="E78">
        <f t="shared" si="2"/>
        <v>0.42</v>
      </c>
      <c r="H78" s="5"/>
    </row>
    <row r="79" spans="1:8" x14ac:dyDescent="0.4">
      <c r="B79" s="4">
        <v>106</v>
      </c>
      <c r="C79" s="4"/>
      <c r="D79" s="6">
        <v>0.42</v>
      </c>
      <c r="H79" s="5"/>
    </row>
    <row r="80" spans="1:8" x14ac:dyDescent="0.4">
      <c r="B80" s="4">
        <v>109</v>
      </c>
      <c r="C80" s="4"/>
      <c r="D80" s="6">
        <v>0.42</v>
      </c>
      <c r="H80" s="5"/>
    </row>
    <row r="81" spans="1:8" x14ac:dyDescent="0.4">
      <c r="B81" s="4">
        <v>116</v>
      </c>
      <c r="C81" s="4"/>
      <c r="D81" s="6">
        <v>0.42</v>
      </c>
      <c r="H81" s="5"/>
    </row>
    <row r="82" spans="1:8" x14ac:dyDescent="0.4">
      <c r="B82" s="4">
        <v>119</v>
      </c>
      <c r="C82" s="4"/>
      <c r="D82" s="6">
        <v>0.42</v>
      </c>
      <c r="H82" s="5"/>
    </row>
    <row r="83" spans="1:8" x14ac:dyDescent="0.4">
      <c r="B83" s="4">
        <v>124</v>
      </c>
      <c r="D83" s="6">
        <v>0.42</v>
      </c>
      <c r="H83" s="5"/>
    </row>
    <row r="84" spans="1:8" x14ac:dyDescent="0.4">
      <c r="B84" s="4">
        <v>129</v>
      </c>
      <c r="D84" s="6">
        <v>0.42</v>
      </c>
      <c r="H84" s="5"/>
    </row>
    <row r="85" spans="1:8" x14ac:dyDescent="0.4">
      <c r="B85" s="4">
        <v>134</v>
      </c>
      <c r="D85" s="6">
        <v>0.42</v>
      </c>
      <c r="H85" s="5"/>
    </row>
    <row r="86" spans="1:8" x14ac:dyDescent="0.4">
      <c r="H86" s="5"/>
    </row>
    <row r="88" spans="1:8" x14ac:dyDescent="0.4">
      <c r="B88" s="1"/>
    </row>
    <row r="89" spans="1:8" x14ac:dyDescent="0.4">
      <c r="A89" s="2" t="s">
        <v>0</v>
      </c>
      <c r="B89" s="3" t="s">
        <v>9</v>
      </c>
      <c r="C89" s="1" t="s">
        <v>10</v>
      </c>
      <c r="D89" s="1" t="s">
        <v>11</v>
      </c>
    </row>
    <row r="90" spans="1:8" x14ac:dyDescent="0.4">
      <c r="A90" s="2" t="s">
        <v>8</v>
      </c>
      <c r="B90" s="3"/>
    </row>
    <row r="92" spans="1:8" x14ac:dyDescent="0.4">
      <c r="B92" s="1" t="s">
        <v>4</v>
      </c>
      <c r="C92">
        <v>11</v>
      </c>
    </row>
    <row r="93" spans="1:8" x14ac:dyDescent="0.4">
      <c r="B93" s="1" t="s">
        <v>1</v>
      </c>
      <c r="C93">
        <v>-3</v>
      </c>
    </row>
    <row r="95" spans="1:8" x14ac:dyDescent="0.4">
      <c r="B95" s="1" t="s">
        <v>6</v>
      </c>
      <c r="C95" s="1" t="s">
        <v>2</v>
      </c>
      <c r="D95" s="1" t="s">
        <v>7</v>
      </c>
      <c r="E95" s="1" t="s">
        <v>3</v>
      </c>
      <c r="F95" s="1" t="s">
        <v>5</v>
      </c>
    </row>
    <row r="96" spans="1:8" x14ac:dyDescent="0.4">
      <c r="B96">
        <v>0.39</v>
      </c>
      <c r="D96" s="6">
        <v>0.55000000000000004</v>
      </c>
    </row>
    <row r="97" spans="2:8" x14ac:dyDescent="0.4">
      <c r="B97">
        <v>0.8</v>
      </c>
      <c r="C97">
        <v>-25.01</v>
      </c>
      <c r="D97" s="6">
        <v>0.55000000000000004</v>
      </c>
      <c r="E97">
        <f t="shared" ref="E97:E122" si="4">C97+D97</f>
        <v>-24.46</v>
      </c>
    </row>
    <row r="98" spans="2:8" x14ac:dyDescent="0.4">
      <c r="B98" s="4">
        <v>1.23</v>
      </c>
      <c r="C98">
        <v>-20.16</v>
      </c>
      <c r="D98" s="6">
        <v>0.55000000000000004</v>
      </c>
      <c r="E98">
        <f t="shared" si="4"/>
        <v>-19.61</v>
      </c>
    </row>
    <row r="99" spans="2:8" x14ac:dyDescent="0.4">
      <c r="B99" s="4">
        <v>4.3</v>
      </c>
      <c r="C99">
        <v>-7.93</v>
      </c>
      <c r="D99" s="6">
        <v>0.55000000000000004</v>
      </c>
      <c r="E99">
        <f t="shared" si="4"/>
        <v>-7.38</v>
      </c>
      <c r="G99" s="1"/>
      <c r="H99" s="1"/>
    </row>
    <row r="100" spans="2:8" x14ac:dyDescent="0.4">
      <c r="B100" s="4">
        <v>7.23</v>
      </c>
      <c r="C100">
        <v>-3.2</v>
      </c>
      <c r="D100" s="6">
        <v>0.55000000000000004</v>
      </c>
      <c r="E100">
        <f t="shared" si="4"/>
        <v>-2.6500000000000004</v>
      </c>
      <c r="H100" s="5"/>
    </row>
    <row r="101" spans="2:8" x14ac:dyDescent="0.4">
      <c r="B101" s="4">
        <v>12.1</v>
      </c>
      <c r="C101">
        <v>1.47</v>
      </c>
      <c r="D101" s="6">
        <v>0.55000000000000004</v>
      </c>
      <c r="E101">
        <f t="shared" si="4"/>
        <v>2.02</v>
      </c>
      <c r="H101" s="5"/>
    </row>
    <row r="102" spans="2:8" x14ac:dyDescent="0.4">
      <c r="B102" s="4">
        <v>16.2</v>
      </c>
      <c r="C102">
        <v>4</v>
      </c>
      <c r="D102" s="6">
        <v>0.55000000000000004</v>
      </c>
      <c r="E102">
        <f t="shared" si="4"/>
        <v>4.55</v>
      </c>
      <c r="H102" s="5"/>
    </row>
    <row r="103" spans="2:8" x14ac:dyDescent="0.4">
      <c r="B103" s="4">
        <v>20.2</v>
      </c>
      <c r="C103">
        <v>5.59</v>
      </c>
      <c r="D103" s="6">
        <v>0.55000000000000004</v>
      </c>
      <c r="E103">
        <f t="shared" si="4"/>
        <v>6.14</v>
      </c>
      <c r="H103" s="5"/>
    </row>
    <row r="104" spans="2:8" x14ac:dyDescent="0.4">
      <c r="B104" s="4">
        <v>24.5</v>
      </c>
      <c r="C104">
        <v>7.16</v>
      </c>
      <c r="D104" s="6">
        <v>0.55000000000000004</v>
      </c>
      <c r="E104">
        <f t="shared" si="4"/>
        <v>7.71</v>
      </c>
      <c r="H104" s="5"/>
    </row>
    <row r="105" spans="2:8" x14ac:dyDescent="0.4">
      <c r="B105" s="4">
        <v>28.2</v>
      </c>
      <c r="C105">
        <v>8.3000000000000007</v>
      </c>
      <c r="D105" s="6">
        <v>0.55000000000000004</v>
      </c>
      <c r="E105">
        <f t="shared" si="4"/>
        <v>8.8500000000000014</v>
      </c>
      <c r="H105" s="5"/>
    </row>
    <row r="106" spans="2:8" x14ac:dyDescent="0.4">
      <c r="B106" s="4">
        <v>32</v>
      </c>
      <c r="C106">
        <v>9.33</v>
      </c>
      <c r="D106" s="6">
        <v>0.55000000000000004</v>
      </c>
      <c r="E106">
        <f t="shared" si="4"/>
        <v>9.8800000000000008</v>
      </c>
      <c r="H106" s="5"/>
    </row>
    <row r="107" spans="2:8" x14ac:dyDescent="0.4">
      <c r="B107" s="4">
        <v>36.36</v>
      </c>
      <c r="C107">
        <v>10.3</v>
      </c>
      <c r="D107" s="6">
        <v>0.55000000000000004</v>
      </c>
      <c r="E107">
        <f t="shared" si="4"/>
        <v>10.850000000000001</v>
      </c>
      <c r="H107" s="5"/>
    </row>
    <row r="108" spans="2:8" x14ac:dyDescent="0.4">
      <c r="B108" s="4">
        <v>40.5</v>
      </c>
      <c r="C108">
        <v>11.2</v>
      </c>
      <c r="D108" s="6">
        <v>0.55000000000000004</v>
      </c>
      <c r="E108">
        <f t="shared" si="4"/>
        <v>11.75</v>
      </c>
      <c r="H108" s="5"/>
    </row>
    <row r="109" spans="2:8" x14ac:dyDescent="0.4">
      <c r="B109" s="4">
        <v>44.8</v>
      </c>
      <c r="C109">
        <v>11.95</v>
      </c>
      <c r="D109" s="6">
        <v>0.55000000000000004</v>
      </c>
      <c r="E109">
        <f t="shared" si="4"/>
        <v>12.5</v>
      </c>
      <c r="H109" s="5"/>
    </row>
    <row r="110" spans="2:8" x14ac:dyDescent="0.4">
      <c r="B110" s="4">
        <v>48.02</v>
      </c>
      <c r="C110">
        <v>12.5</v>
      </c>
      <c r="D110" s="6">
        <v>0.55000000000000004</v>
      </c>
      <c r="E110">
        <f t="shared" si="4"/>
        <v>13.05</v>
      </c>
      <c r="H110" s="5"/>
    </row>
    <row r="111" spans="2:8" x14ac:dyDescent="0.4">
      <c r="B111" s="4">
        <v>53</v>
      </c>
      <c r="C111">
        <v>13.02</v>
      </c>
      <c r="D111" s="6">
        <v>0.55000000000000004</v>
      </c>
      <c r="E111">
        <f t="shared" si="4"/>
        <v>13.57</v>
      </c>
      <c r="H111" s="5"/>
    </row>
    <row r="112" spans="2:8" x14ac:dyDescent="0.4">
      <c r="B112" s="4">
        <v>57.2</v>
      </c>
      <c r="C112">
        <v>13.5</v>
      </c>
      <c r="D112" s="6">
        <v>0.55000000000000004</v>
      </c>
      <c r="E112">
        <f t="shared" si="4"/>
        <v>14.05</v>
      </c>
      <c r="H112" s="5"/>
    </row>
    <row r="113" spans="1:8" x14ac:dyDescent="0.4">
      <c r="B113" s="4">
        <v>65.5</v>
      </c>
      <c r="C113">
        <v>14</v>
      </c>
      <c r="D113" s="6">
        <v>0.55000000000000004</v>
      </c>
      <c r="E113">
        <f t="shared" si="4"/>
        <v>14.55</v>
      </c>
      <c r="H113" s="5"/>
    </row>
    <row r="114" spans="1:8" x14ac:dyDescent="0.4">
      <c r="A114" s="2"/>
      <c r="B114" s="4">
        <v>68.400000000000006</v>
      </c>
      <c r="C114">
        <v>14.14</v>
      </c>
      <c r="D114" s="6">
        <v>0.55000000000000004</v>
      </c>
      <c r="E114">
        <f t="shared" si="4"/>
        <v>14.690000000000001</v>
      </c>
      <c r="H114" s="5"/>
    </row>
    <row r="115" spans="1:8" x14ac:dyDescent="0.4">
      <c r="A115" s="2"/>
      <c r="B115" s="4">
        <v>73.099999999999994</v>
      </c>
      <c r="C115">
        <v>14.17</v>
      </c>
      <c r="D115" s="6">
        <v>0.55000000000000004</v>
      </c>
      <c r="E115">
        <f t="shared" si="4"/>
        <v>14.72</v>
      </c>
      <c r="H115" s="5"/>
    </row>
    <row r="116" spans="1:8" x14ac:dyDescent="0.4">
      <c r="B116" s="4">
        <v>76.400000000000006</v>
      </c>
      <c r="D116" s="6">
        <v>0.55000000000000004</v>
      </c>
      <c r="E116">
        <f t="shared" si="4"/>
        <v>0.55000000000000004</v>
      </c>
      <c r="H116" s="5"/>
    </row>
    <row r="117" spans="1:8" x14ac:dyDescent="0.4">
      <c r="B117" s="4">
        <v>80.239999999999995</v>
      </c>
      <c r="D117" s="6">
        <v>0.55000000000000004</v>
      </c>
      <c r="E117">
        <f t="shared" si="4"/>
        <v>0.55000000000000004</v>
      </c>
      <c r="H117" s="5"/>
    </row>
    <row r="118" spans="1:8" x14ac:dyDescent="0.4">
      <c r="B118" s="4">
        <v>84</v>
      </c>
      <c r="D118" s="6">
        <v>0.55000000000000004</v>
      </c>
      <c r="E118">
        <f t="shared" si="4"/>
        <v>0.55000000000000004</v>
      </c>
      <c r="H118" s="5"/>
    </row>
    <row r="119" spans="1:8" x14ac:dyDescent="0.4">
      <c r="B119" s="4">
        <v>88.3</v>
      </c>
      <c r="C119" s="4"/>
      <c r="D119" s="6">
        <v>0.55000000000000004</v>
      </c>
      <c r="E119">
        <f t="shared" si="4"/>
        <v>0.55000000000000004</v>
      </c>
      <c r="F119" s="1"/>
      <c r="H119" s="5"/>
    </row>
    <row r="120" spans="1:8" x14ac:dyDescent="0.4">
      <c r="B120" s="4">
        <v>93.7</v>
      </c>
      <c r="C120" s="4"/>
      <c r="D120" s="6">
        <v>0.55000000000000004</v>
      </c>
      <c r="E120">
        <f t="shared" si="4"/>
        <v>0.55000000000000004</v>
      </c>
      <c r="H120" s="5"/>
    </row>
    <row r="121" spans="1:8" x14ac:dyDescent="0.4">
      <c r="B121" s="4">
        <v>97.3</v>
      </c>
      <c r="C121" s="4"/>
      <c r="D121" s="6">
        <v>0.55000000000000004</v>
      </c>
      <c r="E121">
        <f t="shared" si="4"/>
        <v>0.55000000000000004</v>
      </c>
      <c r="H121" s="5"/>
    </row>
    <row r="122" spans="1:8" x14ac:dyDescent="0.4">
      <c r="B122" s="4">
        <v>101.6</v>
      </c>
      <c r="C122" s="4"/>
      <c r="D122" s="6">
        <v>0.55000000000000004</v>
      </c>
      <c r="E122">
        <f t="shared" si="4"/>
        <v>0.55000000000000004</v>
      </c>
      <c r="H122" s="5"/>
    </row>
    <row r="123" spans="1:8" x14ac:dyDescent="0.4">
      <c r="B123" s="4">
        <v>106</v>
      </c>
      <c r="C123" s="4"/>
      <c r="D123" s="6">
        <v>0.55000000000000004</v>
      </c>
      <c r="H123" s="5"/>
    </row>
    <row r="124" spans="1:8" x14ac:dyDescent="0.4">
      <c r="B124" s="4">
        <v>109</v>
      </c>
      <c r="C124" s="4"/>
      <c r="D124" s="6">
        <v>0.55000000000000004</v>
      </c>
      <c r="H124" s="5"/>
    </row>
    <row r="125" spans="1:8" x14ac:dyDescent="0.4">
      <c r="B125" s="4">
        <v>116</v>
      </c>
      <c r="C125" s="4"/>
      <c r="D125" s="6">
        <v>0.55000000000000004</v>
      </c>
      <c r="H125" s="5"/>
    </row>
    <row r="126" spans="1:8" x14ac:dyDescent="0.4">
      <c r="B126" s="4">
        <v>119</v>
      </c>
      <c r="C126" s="4"/>
      <c r="D126" s="6">
        <v>0.55000000000000004</v>
      </c>
      <c r="H126" s="5"/>
    </row>
    <row r="127" spans="1:8" x14ac:dyDescent="0.4">
      <c r="B127" s="4">
        <v>124</v>
      </c>
      <c r="D127" s="6">
        <v>0.55000000000000004</v>
      </c>
      <c r="H127" s="5"/>
    </row>
    <row r="128" spans="1:8" x14ac:dyDescent="0.4">
      <c r="B128" s="4">
        <v>129</v>
      </c>
      <c r="D128" s="6">
        <v>0.55000000000000004</v>
      </c>
      <c r="H128" s="5"/>
    </row>
    <row r="129" spans="2:8" x14ac:dyDescent="0.4">
      <c r="B129" s="4">
        <v>134</v>
      </c>
      <c r="D129" s="6">
        <v>0.55000000000000004</v>
      </c>
      <c r="H129" s="5"/>
    </row>
    <row r="130" spans="2:8" x14ac:dyDescent="0.4">
      <c r="B130" s="4"/>
      <c r="C130" s="4"/>
      <c r="H130" s="5"/>
    </row>
    <row r="131" spans="2:8" x14ac:dyDescent="0.4">
      <c r="B131" s="4"/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5" spans="2:8" x14ac:dyDescent="0.4">
      <c r="B135" s="4"/>
    </row>
    <row r="136" spans="2:8" x14ac:dyDescent="0.4">
      <c r="B136" s="4"/>
    </row>
    <row r="137" spans="2:8" x14ac:dyDescent="0.4">
      <c r="B137" s="4"/>
    </row>
    <row r="138" spans="2:8" x14ac:dyDescent="0.4">
      <c r="B138" s="4"/>
    </row>
    <row r="139" spans="2:8" x14ac:dyDescent="0.4">
      <c r="B139" s="4"/>
    </row>
    <row r="140" spans="2:8" x14ac:dyDescent="0.4">
      <c r="B140" s="4"/>
    </row>
    <row r="141" spans="2:8" x14ac:dyDescent="0.4">
      <c r="B141" s="4"/>
    </row>
    <row r="142" spans="2:8" x14ac:dyDescent="0.4">
      <c r="B142" s="4"/>
    </row>
    <row r="143" spans="2:8" x14ac:dyDescent="0.4">
      <c r="B143" s="4"/>
    </row>
    <row r="144" spans="2:8" x14ac:dyDescent="0.4">
      <c r="B144" s="4"/>
    </row>
    <row r="145" spans="1:6" x14ac:dyDescent="0.4">
      <c r="B145" s="4"/>
    </row>
    <row r="146" spans="1:6" x14ac:dyDescent="0.4">
      <c r="B146" s="4"/>
    </row>
    <row r="147" spans="1:6" x14ac:dyDescent="0.4">
      <c r="B147" s="4"/>
    </row>
    <row r="148" spans="1:6" x14ac:dyDescent="0.4">
      <c r="B148" s="4"/>
    </row>
    <row r="149" spans="1:6" x14ac:dyDescent="0.4">
      <c r="B149" s="4"/>
    </row>
    <row r="150" spans="1:6" x14ac:dyDescent="0.4">
      <c r="B150" s="4"/>
    </row>
    <row r="151" spans="1:6" x14ac:dyDescent="0.4">
      <c r="A151" s="2"/>
      <c r="B151" s="4"/>
    </row>
    <row r="152" spans="1:6" x14ac:dyDescent="0.4">
      <c r="A152" s="2"/>
      <c r="B152" s="4"/>
    </row>
    <row r="153" spans="1:6" x14ac:dyDescent="0.4">
      <c r="B153" s="4"/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2026-01-30T19:42:59Z</dcterms:modified>
</cp:coreProperties>
</file>